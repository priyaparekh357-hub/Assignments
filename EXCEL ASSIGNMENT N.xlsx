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 Sonawala\Desktop\tops\assignment\"/>
    </mc:Choice>
  </mc:AlternateContent>
  <xr:revisionPtr revIDLastSave="0" documentId="13_ncr:1_{DD9FB755-1700-4D3D-8592-312A3DBA2FE3}" xr6:coauthVersionLast="47" xr6:coauthVersionMax="47" xr10:uidLastSave="{00000000-0000-0000-0000-000000000000}"/>
  <bookViews>
    <workbookView xWindow="-108" yWindow="-108" windowWidth="23256" windowHeight="12456" xr2:uid="{67CA62CA-49E3-4378-95C6-326914B998E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21" i="1" l="1"/>
  <c r="C911" i="1"/>
  <c r="C900" i="1"/>
  <c r="C878" i="1"/>
  <c r="C867" i="1"/>
  <c r="C856" i="1"/>
  <c r="C833" i="1"/>
  <c r="C834" i="1"/>
  <c r="C832" i="1"/>
  <c r="C827" i="1"/>
  <c r="C826" i="1"/>
  <c r="C825" i="1"/>
  <c r="E820" i="1"/>
  <c r="E818" i="1"/>
  <c r="B780" i="1"/>
  <c r="B781" i="1"/>
  <c r="B779" i="1"/>
  <c r="C761" i="1"/>
  <c r="C750" i="1"/>
  <c r="C739" i="1"/>
  <c r="H717" i="1"/>
  <c r="H716" i="1"/>
  <c r="H713" i="1"/>
  <c r="H712" i="1"/>
  <c r="C531" i="1"/>
  <c r="C530" i="1"/>
  <c r="C527" i="1"/>
  <c r="C524" i="1"/>
  <c r="C521" i="1"/>
  <c r="C518" i="1"/>
  <c r="C515" i="1"/>
  <c r="B508" i="1"/>
  <c r="B410" i="1"/>
  <c r="C387" i="1"/>
  <c r="C388" i="1"/>
  <c r="C389" i="1"/>
  <c r="C386" i="1"/>
  <c r="D367" i="1"/>
  <c r="D372" i="1"/>
  <c r="D371" i="1"/>
  <c r="D366" i="1"/>
  <c r="D365" i="1"/>
  <c r="D361" i="1"/>
  <c r="D360" i="1"/>
  <c r="D359" i="1"/>
  <c r="D358" i="1"/>
  <c r="C339" i="1"/>
  <c r="G322" i="1"/>
  <c r="G323" i="1"/>
  <c r="G324" i="1"/>
  <c r="G321" i="1"/>
  <c r="C310" i="1"/>
  <c r="C309" i="1"/>
  <c r="C308" i="1"/>
  <c r="D285" i="1"/>
  <c r="D286" i="1"/>
  <c r="D287" i="1"/>
  <c r="D288" i="1"/>
  <c r="D289" i="1"/>
  <c r="D290" i="1"/>
  <c r="D284" i="1"/>
  <c r="E260" i="1"/>
  <c r="E261" i="1"/>
  <c r="E262" i="1"/>
  <c r="E263" i="1"/>
  <c r="E264" i="1"/>
  <c r="E265" i="1"/>
  <c r="E266" i="1"/>
  <c r="E259" i="1"/>
  <c r="F260" i="1"/>
  <c r="F261" i="1"/>
  <c r="F262" i="1"/>
  <c r="F263" i="1"/>
  <c r="F264" i="1"/>
  <c r="F265" i="1"/>
  <c r="F266" i="1"/>
  <c r="F259" i="1"/>
  <c r="D245" i="1"/>
  <c r="D246" i="1"/>
  <c r="D247" i="1"/>
  <c r="D244" i="1"/>
  <c r="C234" i="1"/>
  <c r="C233" i="1"/>
  <c r="C231" i="1"/>
  <c r="C232" i="1"/>
  <c r="B215" i="1"/>
  <c r="C214" i="1"/>
  <c r="B204" i="1"/>
  <c r="C203" i="1"/>
  <c r="N201" i="1"/>
  <c r="B193" i="1"/>
  <c r="C192" i="1"/>
  <c r="C168" i="1"/>
  <c r="C158" i="1"/>
  <c r="C147" i="1"/>
  <c r="B132" i="1"/>
  <c r="B129" i="1"/>
  <c r="B126" i="1"/>
  <c r="B123" i="1"/>
  <c r="B102" i="1"/>
  <c r="B96" i="1"/>
  <c r="B72" i="1"/>
  <c r="B69" i="1"/>
  <c r="C51" i="1"/>
  <c r="A51" i="1"/>
  <c r="B42" i="1"/>
  <c r="B41" i="1"/>
  <c r="B40" i="1"/>
  <c r="D21" i="1"/>
  <c r="D19" i="1"/>
  <c r="D17" i="1"/>
  <c r="D15" i="1"/>
  <c r="H711" i="1" s="1"/>
</calcChain>
</file>

<file path=xl/sharedStrings.xml><?xml version="1.0" encoding="utf-8"?>
<sst xmlns="http://schemas.openxmlformats.org/spreadsheetml/2006/main" count="924" uniqueCount="568">
  <si>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</si>
  <si>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</si>
  <si>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</si>
  <si>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</si>
  <si>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</si>
  <si>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</si>
  <si>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</si>
  <si>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</si>
  <si>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</si>
  <si>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</si>
  <si>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</si>
  <si>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</si>
  <si>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</si>
  <si>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</si>
  <si>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</si>
  <si>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</si>
  <si>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</si>
  <si>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</si>
  <si>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</si>
  <si>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</si>
  <si>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Q-1</t>
  </si>
  <si>
    <t>Q-2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</si>
  <si>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</si>
  <si>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</si>
  <si>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</si>
  <si>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</si>
  <si>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</si>
  <si>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</si>
  <si>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</si>
  <si>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</si>
  <si>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</si>
  <si>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</si>
  <si>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</si>
  <si>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</si>
  <si>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</si>
  <si>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</si>
  <si>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</si>
  <si>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</si>
  <si>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</si>
  <si>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</si>
  <si>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>SUM</t>
  </si>
  <si>
    <t>COUNT</t>
  </si>
  <si>
    <t>AVARAGE</t>
  </si>
  <si>
    <t>Q-3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</si>
  <si>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</si>
  <si>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</si>
  <si>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</si>
  <si>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</si>
  <si>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</si>
  <si>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</si>
  <si>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</si>
  <si>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</si>
  <si>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</si>
  <si>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</si>
  <si>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</si>
  <si>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</si>
  <si>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</si>
  <si>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</si>
  <si>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</si>
  <si>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</si>
  <si>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</si>
  <si>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>Q-4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</si>
  <si>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</si>
  <si>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</si>
  <si>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</si>
  <si>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</si>
  <si>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</si>
  <si>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</si>
  <si>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</si>
  <si>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</si>
  <si>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</si>
  <si>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</si>
  <si>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</si>
  <si>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</si>
  <si>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</si>
  <si>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</si>
  <si>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</si>
  <si>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</si>
  <si>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</si>
  <si>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</si>
  <si>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</si>
  <si>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</si>
  <si>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</si>
  <si>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How many numerical answers appear in column C - Amount?</t>
  </si>
  <si>
    <t>COUNT returns the number of cells with a number.</t>
  </si>
  <si>
    <t>How many non-blank answers (numbers and letters) appear in column C?</t>
  </si>
  <si>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</si>
  <si>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</si>
  <si>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</si>
  <si>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</si>
  <si>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</si>
  <si>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</si>
  <si>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</si>
  <si>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</si>
  <si>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</si>
  <si>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</si>
  <si>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Q-5</t>
  </si>
  <si>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</si>
  <si>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</si>
  <si>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</si>
  <si>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</si>
  <si>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</si>
  <si>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</si>
  <si>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</si>
  <si>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</si>
  <si>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</si>
  <si>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</si>
  <si>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</si>
  <si>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</si>
  <si>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</si>
  <si>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</si>
  <si>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</si>
  <si>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</si>
  <si>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</si>
  <si>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</si>
  <si>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</si>
  <si>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</si>
  <si>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</si>
  <si>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</si>
  <si>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</si>
  <si>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</si>
  <si>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</si>
  <si>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</si>
  <si>
    <t>VLOOKUP Exercise - Data: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</si>
  <si>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</si>
  <si>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</si>
  <si>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</si>
  <si>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</si>
  <si>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</si>
  <si>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</si>
  <si>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</si>
  <si>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</si>
  <si>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</si>
  <si>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Accountant</t>
  </si>
  <si>
    <t>Emily Chen</t>
  </si>
  <si>
    <t>Sam Lee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</si>
  <si>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</si>
  <si>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</si>
  <si>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</si>
  <si>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</si>
  <si>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</si>
  <si>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</si>
  <si>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</si>
  <si>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</si>
  <si>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</si>
  <si>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</si>
  <si>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</si>
  <si>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Create a VLOOKUP formula to find the occupation of Jane Doe.</t>
  </si>
  <si>
    <t>Result:</t>
  </si>
  <si>
    <t>Create a VLOOKUP formula to find the age of Mike Lee.</t>
  </si>
  <si>
    <t>Create a VLOOKUP formula to find the occupation of a person whose name starts with "B" (Challenging!)</t>
  </si>
  <si>
    <t>b177</t>
  </si>
  <si>
    <t>e185</t>
  </si>
  <si>
    <t>Q-6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</si>
  <si>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</si>
  <si>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</si>
  <si>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</si>
  <si>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</si>
  <si>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</si>
  <si>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</si>
  <si>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</si>
  <si>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Beni</t>
  </si>
  <si>
    <t>Charlie</t>
  </si>
  <si>
    <t>Dani</t>
  </si>
  <si>
    <t>Q-7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</si>
  <si>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</si>
  <si>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</si>
  <si>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</si>
  <si>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</si>
  <si>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</si>
  <si>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</si>
  <si>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</si>
  <si>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</si>
  <si>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</si>
  <si>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</si>
  <si>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>Q-8</t>
  </si>
  <si>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</si>
  <si>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</si>
  <si>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</si>
  <si>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</si>
  <si>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</si>
  <si>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</si>
  <si>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</si>
  <si>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</si>
  <si>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</si>
  <si>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</si>
  <si>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</si>
  <si>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</si>
  <si>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</si>
  <si>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</si>
  <si>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</si>
  <si>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</si>
  <si>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age below 18 - minor</t>
  </si>
  <si>
    <t>age above 18 - adult</t>
  </si>
  <si>
    <t>age 16 or above - eligible</t>
  </si>
  <si>
    <t>age below 16 not eligible</t>
  </si>
  <si>
    <t>Q-9</t>
  </si>
  <si>
    <t>An A+ student gets 100% scholarship and non A+ gets 50% scholarship as shown in the table below: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</si>
  <si>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</si>
  <si>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</si>
  <si>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</si>
  <si>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</si>
  <si>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</si>
  <si>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</si>
  <si>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</si>
  <si>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</si>
  <si>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</si>
  <si>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</si>
  <si>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</si>
  <si>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</si>
  <si>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</si>
  <si>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A+ - 100% Scholarship</t>
  </si>
  <si>
    <t>A- 50% Scholarship</t>
  </si>
  <si>
    <t>Q-10</t>
  </si>
  <si>
    <t>MAX, MIN and Average</t>
  </si>
  <si>
    <t>Sumo wrestlers contest - Names and Weights</t>
  </si>
  <si>
    <t>Use max, min and average formulas to answer the following questions.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</si>
  <si>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</si>
  <si>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</si>
  <si>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</si>
  <si>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</si>
  <si>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</si>
  <si>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</si>
  <si>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</si>
  <si>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</si>
  <si>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</si>
  <si>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Q-11</t>
  </si>
  <si>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</si>
  <si>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</si>
  <si>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</si>
  <si>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</si>
  <si>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</si>
  <si>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</si>
  <si>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</si>
  <si>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</si>
  <si>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</si>
  <si>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</si>
  <si>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</si>
  <si>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Q-12</t>
  </si>
  <si>
    <t xml:space="preserve">IF at least one student got 99 points or more in a test - the test considered easy, </t>
  </si>
  <si>
    <t>Use MAX and IF to create a logic that checks if the test was "Easy" or not</t>
  </si>
  <si>
    <t>Johny</t>
  </si>
  <si>
    <t>Lev</t>
  </si>
  <si>
    <t>Yoav</t>
  </si>
  <si>
    <t>Chen</t>
  </si>
  <si>
    <t>If any student scored 99 or more, than:</t>
  </si>
  <si>
    <t>return "easy"</t>
  </si>
  <si>
    <t>else:</t>
  </si>
  <si>
    <t>return "not easy"</t>
  </si>
  <si>
    <t>Q-13</t>
  </si>
  <si>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</si>
  <si>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</si>
  <si>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</si>
  <si>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</si>
  <si>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</si>
  <si>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</si>
  <si>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</si>
  <si>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</si>
  <si>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</si>
  <si>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</si>
  <si>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</si>
  <si>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</si>
  <si>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</si>
  <si>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</si>
  <si>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</si>
  <si>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</si>
  <si>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</si>
  <si>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</si>
  <si>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</si>
  <si>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</si>
  <si>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</si>
  <si>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</si>
  <si>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</si>
  <si>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</si>
  <si>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</si>
  <si>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</si>
  <si>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</si>
  <si>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</si>
  <si>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</si>
  <si>
    <t>Q-14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</si>
  <si>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</si>
  <si>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</si>
  <si>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</si>
  <si>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</si>
  <si>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</si>
  <si>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</si>
  <si>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Failed/Good/Excellent</t>
  </si>
  <si>
    <t>John</t>
  </si>
  <si>
    <t>Sarah</t>
  </si>
  <si>
    <t>Michael</t>
  </si>
  <si>
    <t>Deborah</t>
  </si>
  <si>
    <t>Q-15</t>
  </si>
  <si>
    <t>The following table includes ABC company's revenue by month.</t>
  </si>
  <si>
    <t>The company's CFO asked you to use SUM formula to calculate the total revenue for the year.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</si>
  <si>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</si>
  <si>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</si>
  <si>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</si>
  <si>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</si>
  <si>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</si>
  <si>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</si>
  <si>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</si>
  <si>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</si>
  <si>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</si>
  <si>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</si>
  <si>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</si>
  <si>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</si>
  <si>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</si>
  <si>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</si>
  <si>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</si>
  <si>
    <t>Q-16</t>
  </si>
  <si>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</si>
  <si>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</si>
  <si>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</si>
  <si>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</si>
  <si>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Q-17</t>
  </si>
  <si>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</si>
  <si>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</si>
  <si>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</si>
  <si>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</si>
  <si>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</si>
  <si>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</si>
  <si>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</si>
  <si>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</si>
  <si>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</si>
  <si>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</si>
  <si>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</si>
  <si>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</si>
  <si>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</si>
  <si>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</si>
  <si>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</si>
  <si>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</si>
  <si>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</si>
  <si>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</si>
  <si>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</si>
  <si>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</si>
  <si>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</si>
  <si>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</si>
  <si>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</si>
  <si>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</si>
  <si>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</si>
  <si>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</si>
  <si>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</si>
  <si>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</si>
  <si>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</si>
  <si>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</si>
  <si>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</si>
  <si>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</si>
  <si>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</si>
  <si>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</si>
  <si>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</si>
  <si>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</si>
  <si>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</si>
  <si>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</si>
  <si>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</si>
  <si>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</si>
  <si>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</si>
  <si>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</si>
  <si>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</si>
  <si>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</si>
  <si>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</si>
  <si>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</si>
  <si>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</si>
  <si>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</si>
  <si>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</si>
  <si>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</si>
  <si>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</si>
  <si>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</si>
  <si>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</si>
  <si>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</si>
  <si>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</si>
  <si>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</si>
  <si>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</si>
  <si>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</si>
  <si>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</si>
  <si>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</si>
  <si>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</si>
  <si>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</si>
  <si>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</si>
  <si>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</si>
  <si>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</si>
  <si>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</si>
  <si>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</si>
  <si>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</si>
  <si>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</si>
  <si>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</si>
  <si>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</si>
  <si>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</si>
  <si>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</si>
  <si>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</si>
  <si>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</si>
  <si>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</si>
  <si>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</si>
  <si>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</si>
  <si>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</si>
  <si>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</si>
  <si>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</si>
  <si>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</si>
  <si>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</si>
  <si>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</si>
  <si>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</si>
  <si>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</si>
  <si>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</si>
  <si>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</si>
  <si>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</si>
  <si>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</si>
  <si>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</si>
  <si>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</si>
  <si>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</si>
  <si>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</si>
  <si>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</si>
  <si>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</si>
  <si>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</si>
  <si>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</si>
  <si>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</si>
  <si>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</si>
  <si>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</si>
  <si>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</si>
  <si>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</si>
  <si>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</si>
  <si>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</si>
  <si>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</si>
  <si>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</si>
  <si>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</si>
  <si>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</si>
  <si>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</si>
  <si>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</si>
  <si>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</si>
  <si>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</si>
  <si>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</si>
  <si>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</si>
  <si>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</si>
  <si>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</si>
  <si>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</si>
  <si>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</si>
  <si>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</si>
  <si>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</si>
  <si>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</si>
  <si>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</si>
  <si>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</si>
  <si>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</si>
  <si>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</si>
  <si>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</si>
  <si>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</si>
  <si>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</si>
  <si>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</si>
  <si>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</si>
  <si>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</si>
  <si>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</si>
  <si>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</si>
  <si>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</si>
  <si>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</si>
  <si>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</si>
  <si>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</si>
  <si>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</si>
  <si>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</si>
  <si>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</si>
  <si>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</si>
  <si>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</si>
  <si>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</si>
  <si>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</si>
  <si>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</si>
  <si>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</si>
  <si>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</si>
  <si>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</si>
  <si>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</si>
  <si>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</si>
  <si>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</si>
  <si>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</si>
  <si>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</si>
  <si>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</si>
  <si>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</si>
  <si>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</si>
  <si>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</si>
  <si>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</si>
  <si>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</si>
  <si>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</si>
  <si>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</si>
  <si>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</si>
  <si>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</si>
  <si>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</si>
  <si>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</si>
  <si>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</si>
  <si>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</si>
  <si>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</si>
  <si>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</si>
  <si>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</si>
  <si>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</si>
  <si>
    <t>region c</t>
  </si>
  <si>
    <t>age def</t>
  </si>
  <si>
    <t>q-18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</si>
  <si>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</si>
  <si>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</si>
  <si>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</si>
  <si>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</si>
  <si>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</si>
  <si>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</si>
  <si>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</si>
  <si>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</si>
  <si>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</si>
  <si>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</si>
  <si>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</si>
  <si>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</si>
  <si>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sumif1</t>
  </si>
  <si>
    <t>Q-19</t>
  </si>
  <si>
    <t>Data - SUMIF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</si>
  <si>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</si>
  <si>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</si>
  <si>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</si>
  <si>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</si>
  <si>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</si>
  <si>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</si>
  <si>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</si>
  <si>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</si>
  <si>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</si>
  <si>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</si>
  <si>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</si>
  <si>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</si>
  <si>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</si>
  <si>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</si>
  <si>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</si>
  <si>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</si>
  <si>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</si>
  <si>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</si>
  <si>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</si>
  <si>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</si>
  <si>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</si>
  <si>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</si>
  <si>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</si>
  <si>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</si>
  <si>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See Answers Tab</t>
  </si>
  <si>
    <t>What is the total number of medals won by athletes from USA?</t>
  </si>
  <si>
    <t>What is the total number of medals won by figure skaters?</t>
  </si>
  <si>
    <t>What is the total number of medals won by both USA and Jamaica? (Hard)</t>
  </si>
  <si>
    <t>Q-20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</si>
  <si>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</si>
  <si>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</si>
  <si>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</si>
  <si>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</si>
  <si>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>Q-21</t>
  </si>
  <si>
    <t>Below is a list of the employees who work in your company:</t>
  </si>
  <si>
    <t>Location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</si>
  <si>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</si>
  <si>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</si>
  <si>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</si>
  <si>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</si>
  <si>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</si>
  <si>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</si>
  <si>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</si>
  <si>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</si>
  <si>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</si>
  <si>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</si>
  <si>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</si>
  <si>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</si>
  <si>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</si>
  <si>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</si>
  <si>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</si>
  <si>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</si>
  <si>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</si>
  <si>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</si>
  <si>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</si>
  <si>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</si>
  <si>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</si>
  <si>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</si>
  <si>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</si>
  <si>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</si>
  <si>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</si>
  <si>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s</t>
  </si>
  <si>
    <t>Q-27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</si>
</sst>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B1mmm\-yy"/>
    <numFmt numFmtId="165" formatCode="_(* #,##0.00_);_(* \(#,##0.00\);_(* &quot;-&quot;??_);_(@_)"/>
    <numFmt numFmtId="166" formatCode="_([$$-409]* #,##0.00_);_([$$-409]* \(#,##0.00\);_([$$-409]* &quot;-&quot;??_);_(@_)"/>
    <numFmt numFmtId="167" formatCode="_ * #,##0_ ;_ * \-#,##0_ ;_ * &quot;-&quot;??_ ;_ @_ "/>
    <numFmt numFmtId="168" formatCode="_(* #,##0_);_(* \(#,##0\);_(* &quot;-&quot;??_);_(@_)"/>
    <numFmt numFmtId="169" formatCode="_(&quot;$&quot;* #,##0.00_);_(&quot;$&quot;* \(#,##0.00\);_(&quot;$&quot;* &quot;-&quot;??_);_(@_)"/>
    <numFmt numFmtId="170" formatCode="_-[$$-409]* #,##0.00_ ;_-[$$-409]* \-#,##0.00\ ;_-[$$-409]* &quot;-&quot;??_ ;_-@_ "/>
    <numFmt numFmtId="171" formatCode="_-[$$-409]* #,##0.0000_ ;_-[$$-409]* \-#,##0.0000\ ;_-[$$-409]* &quot;-&quot;??_ ;_-@_ 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b/>
      <sz val="11"/>
      <name val="Calibri"/>
      <family val="2"/>
    </font>
    <font>
      <b/>
      <u/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u/>
      <sz val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E101A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rgb="FF0E101A"/>
      <name val="Calibri"/>
      <family val="2"/>
    </font>
    <font>
      <u/>
      <sz val="18"/>
      <color theme="10"/>
      <name val="Aptos Narrow"/>
      <family val="2"/>
      <charset val="177"/>
      <scheme val="minor"/>
    </font>
    <font>
      <b/>
      <sz val="10"/>
      <color rgb="FF000000"/>
      <name val="Arial"/>
      <family val="2"/>
    </font>
    <font>
      <sz val="11"/>
      <color rgb="FF000000"/>
      <name val="Roboto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0"/>
      <color rgb="FF374151"/>
      <name val="Aptos Narrow"/>
      <family val="2"/>
      <scheme val="minor"/>
    </font>
    <font>
      <sz val="10"/>
      <color rgb="FF374151"/>
      <name val="Aptos Narrow"/>
      <family val="2"/>
      <scheme val="minor"/>
    </font>
    <font>
      <b/>
      <sz val="11"/>
      <color rgb="FF000000"/>
      <name val="Calibri"/>
      <family val="2"/>
      <charset val="177"/>
    </font>
    <font>
      <sz val="11"/>
      <color rgb="FF000000"/>
      <name val="Calibri"/>
      <family val="2"/>
      <charset val="177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rgb="FF92D05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4" fillId="0" borderId="0" xfId="0" applyFont="1"/>
    <xf numFmtId="0" fontId="3" fillId="0" borderId="0" xfId="0" applyFont="1"/>
    <xf numFmtId="0" fontId="3" fillId="5" borderId="2" xfId="0" applyFont="1" applyFill="1" applyBorder="1" applyProtection="1">
      <protection locked="0"/>
    </xf>
    <xf numFmtId="0" fontId="4" fillId="5" borderId="2" xfId="0" applyFont="1" applyFill="1" applyBorder="1" applyProtection="1">
      <protection locked="0"/>
    </xf>
    <xf numFmtId="0" fontId="2" fillId="0" borderId="0" xfId="0" applyFont="1"/>
    <xf numFmtId="164" fontId="3" fillId="0" borderId="0" xfId="0" applyNumberFormat="1" applyFont="1"/>
    <xf numFmtId="0" fontId="3" fillId="5" borderId="0" xfId="0" applyFont="1" applyFill="1" applyProtection="1">
      <protection locked="0"/>
    </xf>
    <xf numFmtId="0" fontId="3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8" fillId="7" borderId="1" xfId="0" applyFont="1" applyFill="1" applyBorder="1"/>
    <xf numFmtId="0" fontId="7" fillId="7" borderId="1" xfId="0" applyFont="1" applyFill="1" applyBorder="1"/>
    <xf numFmtId="0" fontId="7" fillId="5" borderId="2" xfId="0" applyFont="1" applyFill="1" applyBorder="1" applyProtection="1">
      <protection locked="0"/>
    </xf>
    <xf numFmtId="0" fontId="9" fillId="0" borderId="0" xfId="0" applyFont="1"/>
    <xf numFmtId="0" fontId="10" fillId="0" borderId="0" xfId="0" applyFont="1"/>
    <xf numFmtId="0" fontId="1" fillId="0" borderId="0" xfId="0" applyFont="1"/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165" fontId="12" fillId="8" borderId="1" xfId="0" applyNumberFormat="1" applyFont="1" applyFill="1" applyBorder="1" applyAlignment="1">
      <alignment vertical="center" wrapText="1"/>
    </xf>
    <xf numFmtId="165" fontId="12" fillId="8" borderId="1" xfId="0" applyNumberFormat="1" applyFont="1" applyFill="1" applyBorder="1" applyAlignment="1">
      <alignment horizontal="center" vertical="center" wrapText="1"/>
    </xf>
    <xf numFmtId="1" fontId="12" fillId="8" borderId="1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Protection="1">
      <protection locked="0"/>
    </xf>
    <xf numFmtId="0" fontId="13" fillId="0" borderId="0" xfId="0" applyFont="1"/>
    <xf numFmtId="0" fontId="7" fillId="9" borderId="3" xfId="0" applyFont="1" applyFill="1" applyBorder="1"/>
    <xf numFmtId="0" fontId="7" fillId="9" borderId="4" xfId="0" applyFont="1" applyFill="1" applyBorder="1"/>
    <xf numFmtId="0" fontId="7" fillId="9" borderId="5" xfId="0" applyFont="1" applyFill="1" applyBorder="1"/>
    <xf numFmtId="0" fontId="7" fillId="5" borderId="0" xfId="0" applyFont="1" applyFill="1" applyProtection="1">
      <protection locked="0"/>
    </xf>
    <xf numFmtId="0" fontId="0" fillId="6" borderId="0" xfId="0" applyFill="1"/>
    <xf numFmtId="0" fontId="14" fillId="0" borderId="0" xfId="0" applyFont="1"/>
    <xf numFmtId="0" fontId="9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6" borderId="6" xfId="0" applyFont="1" applyFill="1" applyBorder="1"/>
    <xf numFmtId="0" fontId="10" fillId="0" borderId="0" xfId="0" applyFont="1" applyAlignment="1">
      <alignment horizontal="left" indent="1"/>
    </xf>
    <xf numFmtId="0" fontId="15" fillId="0" borderId="0" xfId="0" applyFont="1"/>
    <xf numFmtId="0" fontId="16" fillId="0" borderId="0" xfId="0" applyFont="1"/>
    <xf numFmtId="0" fontId="16" fillId="0" borderId="6" xfId="0" applyFont="1" applyBorder="1"/>
    <xf numFmtId="0" fontId="15" fillId="0" borderId="6" xfId="0" applyFont="1" applyBorder="1"/>
    <xf numFmtId="0" fontId="17" fillId="0" borderId="0" xfId="0" applyFont="1" applyAlignment="1">
      <alignment vertical="center"/>
    </xf>
    <xf numFmtId="0" fontId="17" fillId="0" borderId="0" xfId="0" applyFont="1"/>
    <xf numFmtId="0" fontId="15" fillId="6" borderId="6" xfId="0" applyFont="1" applyFill="1" applyBorder="1"/>
    <xf numFmtId="0" fontId="19" fillId="0" borderId="0" xfId="0" applyFont="1"/>
    <xf numFmtId="0" fontId="4" fillId="0" borderId="1" xfId="0" applyFont="1" applyBorder="1"/>
    <xf numFmtId="0" fontId="3" fillId="5" borderId="1" xfId="0" applyFont="1" applyFill="1" applyBorder="1" applyProtection="1">
      <protection locked="0"/>
    </xf>
    <xf numFmtId="0" fontId="20" fillId="0" borderId="0" xfId="0" applyFont="1"/>
    <xf numFmtId="0" fontId="21" fillId="0" borderId="0" xfId="0" applyFont="1"/>
    <xf numFmtId="166" fontId="3" fillId="0" borderId="1" xfId="0" applyNumberFormat="1" applyFont="1" applyBorder="1"/>
    <xf numFmtId="0" fontId="3" fillId="0" borderId="0" xfId="0" applyFont="1" applyAlignment="1">
      <alignment horizontal="left"/>
    </xf>
    <xf numFmtId="0" fontId="22" fillId="0" borderId="0" xfId="0" applyFont="1"/>
    <xf numFmtId="0" fontId="3" fillId="0" borderId="0" xfId="0" applyFont="1" applyAlignment="1">
      <alignment horizontal="right"/>
    </xf>
    <xf numFmtId="0" fontId="21" fillId="0" borderId="1" xfId="0" applyFont="1" applyBorder="1"/>
    <xf numFmtId="0" fontId="21" fillId="0" borderId="7" xfId="0" applyFont="1" applyBorder="1"/>
    <xf numFmtId="0" fontId="3" fillId="0" borderId="7" xfId="0" applyFont="1" applyBorder="1"/>
    <xf numFmtId="0" fontId="1" fillId="0" borderId="1" xfId="0" applyFont="1" applyBorder="1"/>
    <xf numFmtId="9" fontId="1" fillId="0" borderId="1" xfId="0" applyNumberFormat="1" applyFont="1" applyBorder="1"/>
    <xf numFmtId="0" fontId="2" fillId="0" borderId="1" xfId="0" applyFont="1" applyBorder="1"/>
    <xf numFmtId="167" fontId="1" fillId="0" borderId="1" xfId="1" applyNumberFormat="1" applyFont="1" applyBorder="1"/>
    <xf numFmtId="3" fontId="1" fillId="5" borderId="1" xfId="0" applyNumberFormat="1" applyFont="1" applyFill="1" applyBorder="1" applyProtection="1">
      <protection locked="0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21" fillId="0" borderId="8" xfId="0" applyFont="1" applyBorder="1"/>
    <xf numFmtId="0" fontId="6" fillId="0" borderId="8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quotePrefix="1" applyFont="1"/>
    <xf numFmtId="9" fontId="3" fillId="5" borderId="0" xfId="0" applyNumberFormat="1" applyFont="1" applyFill="1" applyProtection="1">
      <protection locked="0"/>
    </xf>
    <xf numFmtId="9" fontId="3" fillId="0" borderId="0" xfId="0" applyNumberFormat="1" applyFont="1"/>
    <xf numFmtId="0" fontId="23" fillId="0" borderId="0" xfId="2" applyFont="1"/>
    <xf numFmtId="0" fontId="2" fillId="0" borderId="6" xfId="0" applyFont="1" applyBorder="1"/>
    <xf numFmtId="0" fontId="0" fillId="0" borderId="6" xfId="0" applyBorder="1"/>
    <xf numFmtId="0" fontId="0" fillId="6" borderId="6" xfId="0" applyFill="1" applyBorder="1" applyProtection="1">
      <protection locked="0"/>
    </xf>
    <xf numFmtId="168" fontId="3" fillId="0" borderId="0" xfId="0" applyNumberFormat="1" applyFont="1" applyAlignment="1">
      <alignment horizontal="center"/>
    </xf>
    <xf numFmtId="168" fontId="3" fillId="5" borderId="2" xfId="0" applyNumberFormat="1" applyFont="1" applyFill="1" applyBorder="1" applyProtection="1">
      <protection locked="0"/>
    </xf>
    <xf numFmtId="14" fontId="4" fillId="11" borderId="1" xfId="0" applyNumberFormat="1" applyFont="1" applyFill="1" applyBorder="1"/>
    <xf numFmtId="169" fontId="4" fillId="11" borderId="1" xfId="0" applyNumberFormat="1" applyFont="1" applyFill="1" applyBorder="1"/>
    <xf numFmtId="14" fontId="3" fillId="0" borderId="1" xfId="0" applyNumberFormat="1" applyFont="1" applyBorder="1"/>
    <xf numFmtId="169" fontId="3" fillId="0" borderId="1" xfId="0" applyNumberFormat="1" applyFont="1" applyBorder="1"/>
    <xf numFmtId="14" fontId="3" fillId="0" borderId="0" xfId="0" applyNumberFormat="1" applyFont="1"/>
    <xf numFmtId="170" fontId="0" fillId="0" borderId="0" xfId="0" applyNumberFormat="1"/>
    <xf numFmtId="170" fontId="3" fillId="6" borderId="1" xfId="0" applyNumberFormat="1" applyFont="1" applyFill="1" applyBorder="1" applyProtection="1">
      <protection locked="0"/>
    </xf>
    <xf numFmtId="3" fontId="24" fillId="12" borderId="1" xfId="0" applyNumberFormat="1" applyFont="1" applyFill="1" applyBorder="1" applyAlignment="1">
      <alignment horizontal="center"/>
    </xf>
    <xf numFmtId="3" fontId="19" fillId="0" borderId="0" xfId="0" applyNumberFormat="1" applyFont="1"/>
    <xf numFmtId="3" fontId="24" fillId="0" borderId="0" xfId="0" applyNumberFormat="1" applyFont="1" applyAlignment="1">
      <alignment horizontal="right"/>
    </xf>
    <xf numFmtId="3" fontId="3" fillId="5" borderId="1" xfId="0" applyNumberFormat="1" applyFont="1" applyFill="1" applyBorder="1" applyProtection="1">
      <protection locked="0"/>
    </xf>
    <xf numFmtId="0" fontId="25" fillId="0" borderId="0" xfId="0" applyFont="1"/>
    <xf numFmtId="3" fontId="3" fillId="5" borderId="6" xfId="0" applyNumberFormat="1" applyFont="1" applyFill="1" applyBorder="1" applyProtection="1">
      <protection locked="0"/>
    </xf>
    <xf numFmtId="3" fontId="3" fillId="6" borderId="6" xfId="0" applyNumberFormat="1" applyFont="1" applyFill="1" applyBorder="1" applyProtection="1">
      <protection locked="0"/>
    </xf>
    <xf numFmtId="0" fontId="24" fillId="12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3" fontId="24" fillId="5" borderId="1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43" fontId="3" fillId="6" borderId="1" xfId="1" applyFont="1" applyFill="1" applyBorder="1" applyProtection="1">
      <protection locked="0"/>
    </xf>
    <xf numFmtId="3" fontId="3" fillId="6" borderId="1" xfId="0" applyNumberFormat="1" applyFont="1" applyFill="1" applyBorder="1" applyProtection="1">
      <protection locked="0"/>
    </xf>
    <xf numFmtId="3" fontId="3" fillId="14" borderId="1" xfId="0" applyNumberFormat="1" applyFont="1" applyFill="1" applyBorder="1" applyProtection="1">
      <protection locked="0"/>
    </xf>
    <xf numFmtId="3" fontId="0" fillId="6" borderId="0" xfId="0" applyNumberFormat="1" applyFill="1"/>
    <xf numFmtId="167" fontId="0" fillId="0" borderId="6" xfId="3" applyNumberFormat="1" applyFont="1" applyBorder="1"/>
    <xf numFmtId="0" fontId="0" fillId="6" borderId="11" xfId="0" applyFill="1" applyBorder="1" applyProtection="1">
      <protection locked="0"/>
    </xf>
    <xf numFmtId="167" fontId="0" fillId="6" borderId="11" xfId="0" applyNumberFormat="1" applyFill="1" applyBorder="1" applyProtection="1">
      <protection locked="0"/>
    </xf>
    <xf numFmtId="167" fontId="0" fillId="0" borderId="0" xfId="0" applyNumberFormat="1"/>
    <xf numFmtId="0" fontId="29" fillId="0" borderId="0" xfId="0" applyFont="1"/>
    <xf numFmtId="0" fontId="30" fillId="0" borderId="0" xfId="0" applyFont="1"/>
    <xf numFmtId="0" fontId="30" fillId="0" borderId="6" xfId="0" applyFont="1" applyBorder="1"/>
    <xf numFmtId="0" fontId="29" fillId="0" borderId="6" xfId="0" applyFont="1" applyBorder="1"/>
    <xf numFmtId="0" fontId="31" fillId="0" borderId="0" xfId="0" applyFont="1" applyAlignment="1">
      <alignment vertical="center"/>
    </xf>
    <xf numFmtId="0" fontId="18" fillId="0" borderId="0" xfId="2" quotePrefix="1"/>
    <xf numFmtId="0" fontId="32" fillId="0" borderId="0" xfId="0" applyFont="1" applyAlignment="1">
      <alignment vertical="center"/>
    </xf>
    <xf numFmtId="0" fontId="33" fillId="0" borderId="0" xfId="0" applyFont="1" applyAlignment="1">
      <alignment wrapText="1"/>
    </xf>
    <xf numFmtId="14" fontId="34" fillId="0" borderId="0" xfId="0" applyNumberFormat="1" applyFont="1" applyAlignment="1">
      <alignment wrapText="1"/>
    </xf>
    <xf numFmtId="171" fontId="34" fillId="0" borderId="0" xfId="0" applyNumberFormat="1" applyFont="1" applyAlignment="1">
      <alignment horizontal="left" wrapText="1"/>
    </xf>
    <xf numFmtId="14" fontId="0" fillId="0" borderId="0" xfId="0" applyNumberFormat="1"/>
    <xf numFmtId="0" fontId="0" fillId="6" borderId="0" xfId="0" applyFill="1" applyProtection="1">
      <protection locked="0"/>
    </xf>
    <xf numFmtId="0" fontId="35" fillId="0" borderId="0" xfId="0" applyFont="1"/>
    <xf numFmtId="0" fontId="36" fillId="0" borderId="0" xfId="0" applyFont="1"/>
    <xf numFmtId="0" fontId="35" fillId="15" borderId="1" xfId="0" applyFont="1" applyFill="1" applyBorder="1"/>
    <xf numFmtId="0" fontId="35" fillId="15" borderId="10" xfId="0" applyFont="1" applyFill="1" applyBorder="1"/>
    <xf numFmtId="0" fontId="36" fillId="0" borderId="12" xfId="0" applyFont="1" applyBorder="1" applyAlignment="1">
      <alignment horizontal="left"/>
    </xf>
    <xf numFmtId="0" fontId="36" fillId="0" borderId="13" xfId="0" applyFont="1" applyBorder="1"/>
    <xf numFmtId="0" fontId="36" fillId="0" borderId="13" xfId="0" applyFont="1" applyBorder="1" applyAlignment="1">
      <alignment horizontal="right"/>
    </xf>
    <xf numFmtId="0" fontId="35" fillId="0" borderId="0" xfId="0" applyFont="1" applyAlignment="1">
      <alignment horizontal="right"/>
    </xf>
    <xf numFmtId="0" fontId="36" fillId="5" borderId="0" xfId="0" applyFont="1" applyFill="1" applyProtection="1">
      <protection locked="0"/>
    </xf>
    <xf numFmtId="0" fontId="35" fillId="0" borderId="1" xfId="0" applyFont="1" applyBorder="1"/>
    <xf numFmtId="0" fontId="35" fillId="0" borderId="10" xfId="0" applyFont="1" applyBorder="1"/>
    <xf numFmtId="0" fontId="36" fillId="5" borderId="13" xfId="0" applyFont="1" applyFill="1" applyBorder="1" applyProtection="1">
      <protection locked="0"/>
    </xf>
    <xf numFmtId="0" fontId="36" fillId="0" borderId="12" xfId="0" applyFont="1" applyBorder="1"/>
    <xf numFmtId="0" fontId="29" fillId="10" borderId="0" xfId="0" applyFont="1" applyFill="1" applyAlignment="1">
      <alignment horizontal="left" vertical="center" wrapText="1"/>
    </xf>
    <xf numFmtId="0" fontId="15" fillId="10" borderId="0" xfId="0" applyFont="1" applyFill="1" applyAlignment="1">
      <alignment horizontal="left" vertical="center" wrapText="1"/>
    </xf>
    <xf numFmtId="0" fontId="26" fillId="13" borderId="7" xfId="0" applyFont="1" applyFill="1" applyBorder="1" applyAlignment="1">
      <alignment horizontal="center"/>
    </xf>
    <xf numFmtId="0" fontId="27" fillId="0" borderId="9" xfId="0" applyFont="1" applyBorder="1"/>
    <xf numFmtId="0" fontId="27" fillId="0" borderId="10" xfId="0" applyFont="1" applyBorder="1"/>
    <xf numFmtId="0" fontId="35" fillId="0" borderId="0" xfId="0" applyFont="1"/>
    <xf numFmtId="0" fontId="0" fillId="0" borderId="0" xfId="0"/>
    <xf numFmtId="0" fontId="36" fillId="0" borderId="0" xfId="0" applyFont="1"/>
  </cellXfs>
  <cellStyles count="4">
    <cellStyle name="Comma" xfId="1" builtinId="3"/>
    <cellStyle name="Comma 2" xfId="3" xr:uid="{D232C92F-47E4-45F9-B2B4-C07CD8356282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B060-DBEE-476F-8C47-713491ED9B72}">
  <dimension ref="A1:O931"/>
  <sheetViews>
    <sheetView tabSelected="1" topLeftCell="A648" zoomScale="97" zoomScaleNormal="70" workbookViewId="0">
      <selection activeCell="E912" sqref="E912"/>
    </sheetView>
  </sheetViews>
  <sheetFormatPr defaultRowHeight="14.4" x14ac:dyDescent="0.3"/>
  <cols>
    <col min="1" max="1" width="10.88671875" customWidth="1"/>
    <col min="2" max="2" width="42.109375" customWidth="1"/>
    <col min="3" max="3" width="12.88671875" bestFit="1" customWidth="1"/>
    <col min="4" max="4" width="11.77734375" bestFit="1" customWidth="1"/>
    <col min="5" max="5" width="21.33203125" bestFit="1" customWidth="1"/>
    <col min="6" max="6" width="15.5546875" customWidth="1"/>
    <col min="7" max="7" width="22.88671875" bestFit="1" customWidth="1"/>
  </cols>
  <sheetData>
    <row r="1" spans="1:4" x14ac:dyDescent="0.3">
      <c r="A1" s="9" t="s">
        <v>20</v>
      </c>
    </row>
    <row r="2" spans="1:4" x14ac:dyDescent="0.3">
      <c r="A2" s="9"/>
      <c r="B2" s="1" t="s">
        <v>0</v>
      </c>
      <c r="C2" s="1" t="s">
        <v>1</v>
      </c>
      <c r="D2" s="1" t="s">
        <v>2</v>
      </c>
    </row>
    <row r="3" spans="1:4" x14ac:dyDescent="0.3">
      <c r="B3" s="2" t="s">
        <v>3</v>
      </c>
      <c r="C3" s="2" t="s">
        <v>4</v>
      </c>
      <c r="D3" s="2">
        <v>43</v>
      </c>
    </row>
    <row r="4" spans="1:4" x14ac:dyDescent="0.3">
      <c r="B4" s="2" t="s">
        <v>3</v>
      </c>
      <c r="C4" s="2" t="s">
        <v>5</v>
      </c>
      <c r="D4" s="2">
        <v>59</v>
      </c>
    </row>
    <row r="5" spans="1:4" x14ac:dyDescent="0.3">
      <c r="B5" s="2" t="s">
        <v>3</v>
      </c>
      <c r="C5" s="2" t="s">
        <v>6</v>
      </c>
      <c r="D5" s="2">
        <v>72</v>
      </c>
    </row>
    <row r="6" spans="1:4" x14ac:dyDescent="0.3">
      <c r="B6" s="3" t="s">
        <v>7</v>
      </c>
      <c r="C6" s="3" t="s">
        <v>8</v>
      </c>
      <c r="D6" s="3">
        <v>119</v>
      </c>
    </row>
    <row r="7" spans="1:4" x14ac:dyDescent="0.3">
      <c r="B7" s="3" t="s">
        <v>7</v>
      </c>
      <c r="C7" s="3" t="s">
        <v>9</v>
      </c>
      <c r="D7" s="3">
        <v>175</v>
      </c>
    </row>
    <row r="8" spans="1:4" x14ac:dyDescent="0.3">
      <c r="B8" s="3" t="s">
        <v>7</v>
      </c>
      <c r="C8" s="3" t="s">
        <v>10</v>
      </c>
      <c r="D8" s="3">
        <v>192</v>
      </c>
    </row>
    <row r="9" spans="1:4" x14ac:dyDescent="0.3">
      <c r="B9" s="4" t="s">
        <v>11</v>
      </c>
      <c r="C9" s="4" t="s">
        <v>12</v>
      </c>
      <c r="D9" s="4">
        <v>240</v>
      </c>
    </row>
    <row r="10" spans="1:4" x14ac:dyDescent="0.3">
      <c r="B10" s="4" t="s">
        <v>11</v>
      </c>
      <c r="C10" s="4" t="s">
        <v>13</v>
      </c>
      <c r="D10" s="4">
        <v>405</v>
      </c>
    </row>
    <row r="11" spans="1:4" x14ac:dyDescent="0.3">
      <c r="B11" s="4" t="s">
        <v>11</v>
      </c>
      <c r="C11" s="4" t="s">
        <v>14</v>
      </c>
      <c r="D11" s="4">
        <v>522</v>
      </c>
    </row>
    <row r="13" spans="1:4" x14ac:dyDescent="0.3">
      <c r="B13" s="5" t="s">
        <v>15</v>
      </c>
    </row>
    <row r="14" spans="1:4" ht="15" thickBot="1" x14ac:dyDescent="0.35"/>
    <row r="15" spans="1:4" ht="15" thickBot="1" x14ac:dyDescent="0.35">
      <c r="A15" s="6">
        <v>1</v>
      </c>
      <c r="B15" s="6" t="s">
        <v>16</v>
      </c>
      <c r="D15" s="7">
        <f>AVERAGE(D3:D5)</f>
        <v>58</v>
      </c>
    </row>
    <row r="16" spans="1:4" ht="15" thickBot="1" x14ac:dyDescent="0.35"/>
    <row r="17" spans="1:4" ht="15" thickBot="1" x14ac:dyDescent="0.35">
      <c r="A17" s="6">
        <v>2</v>
      </c>
      <c r="B17" s="6" t="s">
        <v>17</v>
      </c>
      <c r="D17" s="7">
        <f>AVERAGE(D6:D8)</f>
        <v>162</v>
      </c>
    </row>
    <row r="18" spans="1:4" ht="15" thickBot="1" x14ac:dyDescent="0.35"/>
    <row r="19" spans="1:4" ht="15" thickBot="1" x14ac:dyDescent="0.35">
      <c r="A19" s="6">
        <v>3</v>
      </c>
      <c r="B19" s="6" t="s">
        <v>18</v>
      </c>
      <c r="D19" s="7">
        <f>AVERAGE(D9:D11)</f>
        <v>389</v>
      </c>
    </row>
    <row r="20" spans="1:4" ht="15" thickBot="1" x14ac:dyDescent="0.35"/>
    <row r="21" spans="1:4" ht="15" thickBot="1" x14ac:dyDescent="0.35">
      <c r="A21" s="6">
        <v>4</v>
      </c>
      <c r="B21" s="6" t="s">
        <v>19</v>
      </c>
      <c r="D21" s="8">
        <f>AVERAGE(D3:D11)</f>
        <v>203</v>
      </c>
    </row>
    <row r="23" spans="1:4" x14ac:dyDescent="0.3">
      <c r="A23" s="9" t="s">
        <v>21</v>
      </c>
    </row>
    <row r="25" spans="1:4" x14ac:dyDescent="0.3">
      <c r="A25" s="6" t="s">
        <v>22</v>
      </c>
    </row>
    <row r="26" spans="1:4" x14ac:dyDescent="0.3">
      <c r="A26" s="6" t="s">
        <v>23</v>
      </c>
    </row>
    <row r="27" spans="1:4" x14ac:dyDescent="0.3">
      <c r="A27" s="5" t="s">
        <v>24</v>
      </c>
      <c r="B27" s="5" t="s">
        <v>25</v>
      </c>
      <c r="C27" s="5" t="s">
        <v>26</v>
      </c>
    </row>
    <row r="28" spans="1:4" x14ac:dyDescent="0.3">
      <c r="A28" s="6" t="s">
        <v>27</v>
      </c>
      <c r="B28" s="10">
        <v>43101</v>
      </c>
      <c r="C28" s="6">
        <v>152</v>
      </c>
    </row>
    <row r="29" spans="1:4" x14ac:dyDescent="0.3">
      <c r="A29" s="6" t="s">
        <v>28</v>
      </c>
      <c r="B29" s="10">
        <v>43101</v>
      </c>
      <c r="C29" s="6">
        <v>171</v>
      </c>
    </row>
    <row r="30" spans="1:4" x14ac:dyDescent="0.3">
      <c r="A30" s="6" t="s">
        <v>29</v>
      </c>
      <c r="B30" s="10">
        <v>43101</v>
      </c>
      <c r="C30" s="6">
        <v>110</v>
      </c>
    </row>
    <row r="31" spans="1:4" x14ac:dyDescent="0.3">
      <c r="A31" s="6" t="s">
        <v>30</v>
      </c>
      <c r="B31" s="10">
        <v>43132</v>
      </c>
      <c r="C31" s="6">
        <v>173</v>
      </c>
    </row>
    <row r="32" spans="1:4" x14ac:dyDescent="0.3">
      <c r="A32" s="6" t="s">
        <v>31</v>
      </c>
      <c r="B32" s="10">
        <v>43132</v>
      </c>
      <c r="C32" s="6">
        <v>128</v>
      </c>
    </row>
    <row r="33" spans="1:3" x14ac:dyDescent="0.3">
      <c r="A33" s="6" t="s">
        <v>32</v>
      </c>
      <c r="B33" s="10">
        <v>43132</v>
      </c>
      <c r="C33" s="6">
        <v>107</v>
      </c>
    </row>
    <row r="34" spans="1:3" x14ac:dyDescent="0.3">
      <c r="A34" s="6" t="s">
        <v>33</v>
      </c>
      <c r="B34" s="10">
        <v>43160</v>
      </c>
      <c r="C34" s="6">
        <v>213</v>
      </c>
    </row>
    <row r="35" spans="1:3" x14ac:dyDescent="0.3">
      <c r="A35" s="6" t="s">
        <v>34</v>
      </c>
      <c r="B35" s="10">
        <v>43160</v>
      </c>
      <c r="C35" s="6">
        <v>238</v>
      </c>
    </row>
    <row r="36" spans="1:3" x14ac:dyDescent="0.3">
      <c r="A36" s="6" t="s">
        <v>35</v>
      </c>
      <c r="B36" s="10">
        <v>43160</v>
      </c>
      <c r="C36" s="6">
        <v>131</v>
      </c>
    </row>
    <row r="38" spans="1:3" x14ac:dyDescent="0.3">
      <c r="A38" s="6" t="s">
        <v>36</v>
      </c>
    </row>
    <row r="40" spans="1:3" x14ac:dyDescent="0.3">
      <c r="A40" s="10">
        <v>43101</v>
      </c>
      <c r="B40" s="11">
        <f>AVERAGE(C28:C30)</f>
        <v>144.33333333333334</v>
      </c>
      <c r="C40" s="6"/>
    </row>
    <row r="41" spans="1:3" x14ac:dyDescent="0.3">
      <c r="A41" s="10">
        <v>43132</v>
      </c>
      <c r="B41" s="11">
        <f>AVERAGE(C31:C33)</f>
        <v>136</v>
      </c>
      <c r="C41" s="6"/>
    </row>
    <row r="42" spans="1:3" x14ac:dyDescent="0.3">
      <c r="A42" s="10">
        <v>43160</v>
      </c>
      <c r="B42" s="11">
        <f>AVERAGE(C34:C36)</f>
        <v>194</v>
      </c>
      <c r="C42" s="6"/>
    </row>
    <row r="45" spans="1:3" x14ac:dyDescent="0.3">
      <c r="A45" s="6" t="s">
        <v>37</v>
      </c>
    </row>
    <row r="47" spans="1:3" x14ac:dyDescent="0.3">
      <c r="A47" s="6" t="s">
        <v>38</v>
      </c>
      <c r="B47" s="11"/>
      <c r="C47" s="6"/>
    </row>
    <row r="48" spans="1:3" x14ac:dyDescent="0.3">
      <c r="A48" s="6" t="s">
        <v>39</v>
      </c>
      <c r="B48" s="11"/>
      <c r="C48" s="6"/>
    </row>
    <row r="50" spans="1:7" x14ac:dyDescent="0.3">
      <c r="A50" s="12" t="s">
        <v>40</v>
      </c>
      <c r="B50" s="13" t="s">
        <v>41</v>
      </c>
      <c r="C50" s="13" t="s">
        <v>42</v>
      </c>
    </row>
    <row r="51" spans="1:7" x14ac:dyDescent="0.3">
      <c r="A51" s="13">
        <f>SUM(C28:C36)</f>
        <v>1423</v>
      </c>
      <c r="B51" s="13">
        <v>9</v>
      </c>
      <c r="C51" s="13">
        <f>AVERAGE(C28:C36)</f>
        <v>158.11111111111111</v>
      </c>
    </row>
    <row r="53" spans="1:7" x14ac:dyDescent="0.3">
      <c r="A53" s="9" t="s">
        <v>43</v>
      </c>
    </row>
    <row r="55" spans="1:7" x14ac:dyDescent="0.3">
      <c r="A55" s="14" t="s">
        <v>44</v>
      </c>
      <c r="B55" s="15"/>
      <c r="C55" s="15"/>
      <c r="D55" s="15"/>
      <c r="E55" s="15"/>
      <c r="F55" s="15"/>
      <c r="G55" s="15"/>
    </row>
    <row r="56" spans="1:7" x14ac:dyDescent="0.3">
      <c r="A56" s="16" t="s">
        <v>45</v>
      </c>
      <c r="B56" s="15"/>
      <c r="C56" s="15"/>
      <c r="D56" s="15"/>
      <c r="E56" s="15"/>
      <c r="F56" s="15"/>
      <c r="G56" s="15"/>
    </row>
    <row r="57" spans="1:7" x14ac:dyDescent="0.3">
      <c r="A57" s="17" t="s">
        <v>46</v>
      </c>
      <c r="B57" s="18" t="s">
        <v>47</v>
      </c>
      <c r="C57" s="15"/>
      <c r="D57" s="15"/>
      <c r="E57" s="15"/>
      <c r="F57" s="15"/>
      <c r="G57" s="15"/>
    </row>
    <row r="58" spans="1:7" x14ac:dyDescent="0.3">
      <c r="A58" s="17" t="s">
        <v>48</v>
      </c>
      <c r="B58" s="19">
        <v>7</v>
      </c>
      <c r="C58" s="15"/>
      <c r="D58" s="15"/>
      <c r="E58" s="15"/>
      <c r="F58" s="15"/>
      <c r="G58" s="15"/>
    </row>
    <row r="59" spans="1:7" x14ac:dyDescent="0.3">
      <c r="A59" s="17" t="s">
        <v>49</v>
      </c>
      <c r="B59" s="19">
        <v>5</v>
      </c>
      <c r="C59" s="15"/>
      <c r="D59" s="15"/>
      <c r="E59" s="15"/>
      <c r="F59" s="15"/>
      <c r="G59" s="15"/>
    </row>
    <row r="60" spans="1:7" x14ac:dyDescent="0.3">
      <c r="A60" s="17" t="s">
        <v>50</v>
      </c>
      <c r="B60" s="19">
        <v>6</v>
      </c>
      <c r="C60" s="15"/>
      <c r="D60" s="15"/>
      <c r="E60" s="15"/>
      <c r="F60" s="15"/>
      <c r="G60" s="15"/>
    </row>
    <row r="61" spans="1:7" x14ac:dyDescent="0.3">
      <c r="A61" s="17" t="s">
        <v>51</v>
      </c>
      <c r="B61" s="19">
        <v>4</v>
      </c>
      <c r="C61" s="15"/>
      <c r="D61" s="15"/>
      <c r="E61" s="15"/>
      <c r="F61" s="15"/>
      <c r="G61" s="15"/>
    </row>
    <row r="62" spans="1:7" x14ac:dyDescent="0.3">
      <c r="A62" s="17" t="s">
        <v>52</v>
      </c>
      <c r="B62" s="19" t="s">
        <v>53</v>
      </c>
      <c r="C62" s="15"/>
      <c r="D62" s="15"/>
      <c r="E62" s="15"/>
      <c r="F62" s="15"/>
      <c r="G62" s="15"/>
    </row>
    <row r="63" spans="1:7" x14ac:dyDescent="0.3">
      <c r="A63" s="17" t="s">
        <v>54</v>
      </c>
      <c r="B63" s="19" t="s">
        <v>55</v>
      </c>
      <c r="C63" s="15"/>
      <c r="D63" s="15"/>
      <c r="E63" s="15"/>
      <c r="F63" s="15"/>
      <c r="G63" s="15"/>
    </row>
    <row r="64" spans="1:7" x14ac:dyDescent="0.3">
      <c r="A64" s="17" t="s">
        <v>56</v>
      </c>
      <c r="B64" s="19" t="s">
        <v>56</v>
      </c>
      <c r="C64" s="15"/>
      <c r="D64" s="15"/>
      <c r="E64" s="15"/>
      <c r="F64" s="15"/>
      <c r="G64" s="15"/>
    </row>
    <row r="65" spans="1:8" x14ac:dyDescent="0.3">
      <c r="A65" s="15"/>
      <c r="B65" s="15"/>
      <c r="C65" s="15"/>
      <c r="D65" s="15"/>
      <c r="E65" s="15"/>
      <c r="F65" s="15"/>
      <c r="G65" s="15"/>
    </row>
    <row r="66" spans="1:8" x14ac:dyDescent="0.3">
      <c r="A66" s="16" t="s">
        <v>57</v>
      </c>
      <c r="B66" s="15"/>
      <c r="C66" s="15"/>
      <c r="D66" s="15"/>
      <c r="E66" s="15"/>
      <c r="F66" s="15"/>
      <c r="G66" s="15"/>
    </row>
    <row r="67" spans="1:8" x14ac:dyDescent="0.3">
      <c r="A67" s="15"/>
      <c r="B67" s="15"/>
      <c r="C67" s="15"/>
      <c r="D67" s="15"/>
      <c r="E67" s="15"/>
      <c r="F67" s="15"/>
      <c r="G67" s="15"/>
    </row>
    <row r="68" spans="1:8" ht="15" thickBot="1" x14ac:dyDescent="0.35">
      <c r="A68" s="16" t="s">
        <v>58</v>
      </c>
      <c r="B68" s="16" t="s">
        <v>59</v>
      </c>
      <c r="C68" s="15"/>
      <c r="D68" s="15"/>
      <c r="E68" s="15"/>
      <c r="F68" s="15"/>
      <c r="G68" s="15"/>
    </row>
    <row r="69" spans="1:8" ht="15" thickBot="1" x14ac:dyDescent="0.35">
      <c r="A69" s="16" t="s">
        <v>47</v>
      </c>
      <c r="B69" s="20">
        <f>COUNT(B58:B61)</f>
        <v>4</v>
      </c>
      <c r="C69" s="16"/>
      <c r="D69" s="15"/>
      <c r="E69" s="15"/>
      <c r="F69" s="15"/>
      <c r="G69" s="15"/>
    </row>
    <row r="70" spans="1:8" x14ac:dyDescent="0.3">
      <c r="A70" s="15"/>
      <c r="B70" s="15"/>
      <c r="C70" s="15"/>
      <c r="D70" s="15"/>
      <c r="E70" s="15"/>
      <c r="F70" s="15"/>
      <c r="G70" s="15"/>
    </row>
    <row r="71" spans="1:8" ht="15" thickBot="1" x14ac:dyDescent="0.35">
      <c r="A71" s="16" t="s">
        <v>58</v>
      </c>
      <c r="B71" s="16" t="s">
        <v>60</v>
      </c>
      <c r="C71" s="15"/>
      <c r="D71" s="15"/>
      <c r="E71" s="15"/>
      <c r="F71" s="15"/>
      <c r="G71" s="15"/>
    </row>
    <row r="72" spans="1:8" ht="15" thickBot="1" x14ac:dyDescent="0.35">
      <c r="A72" s="16" t="s">
        <v>47</v>
      </c>
      <c r="B72" s="20">
        <f>COUNTA(B58:B61)</f>
        <v>4</v>
      </c>
      <c r="C72" s="16"/>
      <c r="D72" s="15"/>
      <c r="E72" s="15"/>
      <c r="F72" s="15"/>
      <c r="G72" s="15"/>
    </row>
    <row r="74" spans="1:8" x14ac:dyDescent="0.3">
      <c r="A74" s="30" t="s">
        <v>61</v>
      </c>
    </row>
    <row r="76" spans="1:8" x14ac:dyDescent="0.3">
      <c r="A76" s="21" t="s">
        <v>62</v>
      </c>
      <c r="B76" s="22"/>
      <c r="C76" s="22"/>
      <c r="D76" s="22"/>
      <c r="E76" s="22"/>
      <c r="F76" s="22"/>
      <c r="G76" s="23"/>
      <c r="H76" s="23"/>
    </row>
    <row r="77" spans="1:8" x14ac:dyDescent="0.3">
      <c r="A77" s="21" t="s">
        <v>63</v>
      </c>
      <c r="B77" s="22"/>
      <c r="C77" s="22"/>
      <c r="D77" s="22"/>
      <c r="E77" s="22"/>
      <c r="F77" s="22"/>
      <c r="G77" s="23"/>
      <c r="H77" s="23"/>
    </row>
    <row r="78" spans="1:8" ht="24" x14ac:dyDescent="0.3">
      <c r="A78" s="24" t="s">
        <v>64</v>
      </c>
      <c r="B78" s="24" t="s">
        <v>65</v>
      </c>
      <c r="C78" s="24" t="s">
        <v>66</v>
      </c>
      <c r="D78" s="22"/>
      <c r="E78" s="22"/>
      <c r="F78" s="22"/>
      <c r="G78" s="23"/>
      <c r="H78" s="23"/>
    </row>
    <row r="79" spans="1:8" x14ac:dyDescent="0.3">
      <c r="A79" s="25">
        <v>101</v>
      </c>
      <c r="B79" s="25" t="s">
        <v>67</v>
      </c>
      <c r="C79" s="26">
        <v>78022</v>
      </c>
      <c r="D79" s="22"/>
      <c r="E79" s="22"/>
      <c r="F79" s="22"/>
      <c r="G79" s="23"/>
      <c r="H79" s="23"/>
    </row>
    <row r="80" spans="1:8" x14ac:dyDescent="0.3">
      <c r="A80" s="25">
        <v>102</v>
      </c>
      <c r="B80" s="25" t="s">
        <v>68</v>
      </c>
      <c r="C80" s="26">
        <v>99819</v>
      </c>
      <c r="D80" s="22"/>
      <c r="E80" s="22"/>
      <c r="F80" s="22"/>
      <c r="G80" s="23"/>
      <c r="H80" s="23"/>
    </row>
    <row r="81" spans="1:8" x14ac:dyDescent="0.3">
      <c r="A81" s="25">
        <v>103</v>
      </c>
      <c r="B81" s="25" t="s">
        <v>69</v>
      </c>
      <c r="C81" s="27" t="s">
        <v>70</v>
      </c>
      <c r="D81" s="22"/>
      <c r="E81" s="22"/>
      <c r="F81" s="22"/>
      <c r="G81" s="23"/>
      <c r="H81" s="23"/>
    </row>
    <row r="82" spans="1:8" x14ac:dyDescent="0.3">
      <c r="A82" s="25">
        <v>104</v>
      </c>
      <c r="B82" s="25" t="s">
        <v>71</v>
      </c>
      <c r="C82" s="26">
        <v>27522</v>
      </c>
      <c r="D82" s="22"/>
      <c r="E82" s="22"/>
      <c r="F82" s="22"/>
      <c r="G82" s="23"/>
      <c r="H82" s="23"/>
    </row>
    <row r="83" spans="1:8" x14ac:dyDescent="0.3">
      <c r="A83" s="25">
        <v>105</v>
      </c>
      <c r="B83" s="25" t="s">
        <v>72</v>
      </c>
      <c r="C83" s="28">
        <v>0</v>
      </c>
      <c r="D83" s="22"/>
      <c r="E83" s="22"/>
      <c r="F83" s="22"/>
      <c r="G83" s="23"/>
      <c r="H83" s="23"/>
    </row>
    <row r="84" spans="1:8" x14ac:dyDescent="0.3">
      <c r="A84" s="25">
        <v>106</v>
      </c>
      <c r="B84" s="25" t="s">
        <v>73</v>
      </c>
      <c r="C84" s="28"/>
      <c r="D84" s="22"/>
      <c r="E84" s="22"/>
      <c r="F84" s="22"/>
      <c r="G84" s="23"/>
      <c r="H84" s="23"/>
    </row>
    <row r="85" spans="1:8" x14ac:dyDescent="0.3">
      <c r="A85" s="25">
        <v>107</v>
      </c>
      <c r="B85" s="25" t="s">
        <v>74</v>
      </c>
      <c r="C85" s="28">
        <v>0</v>
      </c>
      <c r="D85" s="22"/>
      <c r="E85" s="22"/>
      <c r="F85" s="22"/>
      <c r="G85" s="23"/>
      <c r="H85" s="23"/>
    </row>
    <row r="86" spans="1:8" x14ac:dyDescent="0.3">
      <c r="A86" s="25">
        <v>108</v>
      </c>
      <c r="B86" s="25" t="s">
        <v>75</v>
      </c>
      <c r="C86" s="26">
        <v>88041</v>
      </c>
      <c r="D86" s="22"/>
      <c r="E86" s="22"/>
      <c r="F86" s="22"/>
      <c r="G86" s="23"/>
      <c r="H86" s="23"/>
    </row>
    <row r="87" spans="1:8" x14ac:dyDescent="0.3">
      <c r="A87" s="25">
        <v>109</v>
      </c>
      <c r="B87" s="25" t="s">
        <v>76</v>
      </c>
      <c r="C87" s="26">
        <v>81831</v>
      </c>
      <c r="D87" s="22"/>
      <c r="E87" s="22"/>
      <c r="F87" s="22"/>
      <c r="G87" s="23"/>
      <c r="H87" s="23"/>
    </row>
    <row r="88" spans="1:8" x14ac:dyDescent="0.3">
      <c r="A88" s="25">
        <v>110</v>
      </c>
      <c r="B88" s="25" t="s">
        <v>77</v>
      </c>
      <c r="C88" s="27" t="s">
        <v>70</v>
      </c>
      <c r="D88" s="22"/>
      <c r="E88" s="22"/>
      <c r="F88" s="22"/>
      <c r="G88" s="23"/>
      <c r="H88" s="23"/>
    </row>
    <row r="89" spans="1:8" x14ac:dyDescent="0.3">
      <c r="A89" s="25">
        <v>111</v>
      </c>
      <c r="B89" s="25" t="s">
        <v>78</v>
      </c>
      <c r="C89" s="26"/>
      <c r="D89" s="22"/>
      <c r="E89" s="22"/>
      <c r="F89" s="22"/>
      <c r="G89" s="23"/>
      <c r="H89" s="23"/>
    </row>
    <row r="90" spans="1:8" x14ac:dyDescent="0.3">
      <c r="A90" s="25">
        <v>112</v>
      </c>
      <c r="B90" s="25" t="s">
        <v>79</v>
      </c>
      <c r="C90" s="26">
        <v>26624</v>
      </c>
      <c r="D90" s="22"/>
      <c r="E90" s="22"/>
      <c r="F90" s="22"/>
      <c r="G90" s="23"/>
      <c r="H90" s="23"/>
    </row>
    <row r="91" spans="1:8" x14ac:dyDescent="0.3">
      <c r="A91" s="25">
        <v>113</v>
      </c>
      <c r="B91" s="25" t="s">
        <v>80</v>
      </c>
      <c r="C91" s="26">
        <v>92885</v>
      </c>
      <c r="D91" s="22"/>
      <c r="E91" s="22"/>
      <c r="F91" s="22"/>
      <c r="G91" s="23"/>
      <c r="H91" s="23"/>
    </row>
    <row r="92" spans="1:8" x14ac:dyDescent="0.3">
      <c r="A92" s="25">
        <v>114</v>
      </c>
      <c r="B92" s="25" t="s">
        <v>81</v>
      </c>
      <c r="C92" s="28">
        <v>0</v>
      </c>
      <c r="D92" s="22"/>
      <c r="E92" s="22"/>
      <c r="F92" s="22"/>
      <c r="G92" s="23"/>
      <c r="H92" s="23"/>
    </row>
    <row r="93" spans="1:8" x14ac:dyDescent="0.3">
      <c r="A93" s="22"/>
      <c r="B93" s="22"/>
      <c r="C93" s="22"/>
      <c r="D93" s="22"/>
      <c r="E93" s="22"/>
      <c r="F93" s="22"/>
      <c r="G93" s="23"/>
      <c r="H93" s="23"/>
    </row>
    <row r="94" spans="1:8" x14ac:dyDescent="0.3">
      <c r="A94" s="21" t="s">
        <v>82</v>
      </c>
      <c r="B94" s="22"/>
      <c r="C94" s="22"/>
      <c r="D94" s="22"/>
      <c r="E94" s="22"/>
      <c r="F94" s="22"/>
      <c r="G94" s="23"/>
      <c r="H94" s="23"/>
    </row>
    <row r="95" spans="1:8" ht="15" thickBot="1" x14ac:dyDescent="0.35">
      <c r="A95" s="22" t="s">
        <v>58</v>
      </c>
      <c r="B95" s="22" t="s">
        <v>83</v>
      </c>
      <c r="C95" s="22"/>
      <c r="D95" s="22"/>
      <c r="E95" s="22"/>
      <c r="F95" s="22"/>
      <c r="G95" s="23"/>
      <c r="H95" s="23"/>
    </row>
    <row r="96" spans="1:8" ht="15" thickBot="1" x14ac:dyDescent="0.35">
      <c r="A96" s="22" t="s">
        <v>47</v>
      </c>
      <c r="B96" s="29">
        <f>COUNT(C79:C92)</f>
        <v>10</v>
      </c>
      <c r="C96" s="22"/>
      <c r="D96" s="22"/>
      <c r="E96" s="22"/>
      <c r="F96" s="22"/>
      <c r="G96" s="23"/>
      <c r="H96" s="23"/>
    </row>
    <row r="97" spans="1:8" x14ac:dyDescent="0.3">
      <c r="A97" s="22"/>
      <c r="B97" s="22"/>
      <c r="C97" s="22"/>
      <c r="D97" s="22"/>
      <c r="E97" s="22"/>
      <c r="F97" s="22"/>
      <c r="G97" s="23"/>
      <c r="H97" s="23"/>
    </row>
    <row r="98" spans="1:8" x14ac:dyDescent="0.3">
      <c r="A98" s="22"/>
      <c r="B98" s="22" t="s">
        <v>84</v>
      </c>
      <c r="C98" s="22"/>
      <c r="D98" s="22"/>
      <c r="E98" s="22"/>
      <c r="F98" s="22"/>
      <c r="G98" s="23"/>
      <c r="H98" s="23"/>
    </row>
    <row r="99" spans="1:8" x14ac:dyDescent="0.3">
      <c r="A99" s="22"/>
      <c r="B99" s="22"/>
      <c r="C99" s="22"/>
      <c r="D99" s="22"/>
      <c r="E99" s="22"/>
      <c r="F99" s="22"/>
      <c r="G99" s="23"/>
      <c r="H99" s="23"/>
    </row>
    <row r="100" spans="1:8" x14ac:dyDescent="0.3">
      <c r="A100" s="22"/>
      <c r="B100" s="22"/>
      <c r="C100" s="22"/>
      <c r="D100" s="22"/>
      <c r="E100" s="22"/>
      <c r="F100" s="22"/>
      <c r="G100" s="23"/>
      <c r="H100" s="23"/>
    </row>
    <row r="101" spans="1:8" ht="15" thickBot="1" x14ac:dyDescent="0.35">
      <c r="A101" s="22" t="s">
        <v>58</v>
      </c>
      <c r="B101" s="22" t="s">
        <v>85</v>
      </c>
      <c r="C101" s="22"/>
      <c r="D101" s="22"/>
      <c r="E101" s="22"/>
      <c r="F101" s="22"/>
      <c r="G101" s="23"/>
      <c r="H101" s="23"/>
    </row>
    <row r="102" spans="1:8" ht="15" thickBot="1" x14ac:dyDescent="0.35">
      <c r="A102" s="22" t="s">
        <v>47</v>
      </c>
      <c r="B102" s="29">
        <f>COUNTA(C79:C92)</f>
        <v>12</v>
      </c>
      <c r="C102" s="22"/>
      <c r="D102" s="22"/>
      <c r="E102" s="22"/>
      <c r="F102" s="22"/>
      <c r="G102" s="23"/>
      <c r="H102" s="23"/>
    </row>
    <row r="103" spans="1:8" x14ac:dyDescent="0.3">
      <c r="A103" s="23"/>
      <c r="B103" s="23"/>
      <c r="C103" s="23"/>
      <c r="D103" s="23"/>
      <c r="E103" s="23"/>
      <c r="F103" s="23"/>
      <c r="G103" s="23"/>
      <c r="H103" s="23"/>
    </row>
    <row r="104" spans="1:8" x14ac:dyDescent="0.3">
      <c r="A104" s="9" t="s">
        <v>61</v>
      </c>
      <c r="B104" s="23"/>
      <c r="C104" s="23"/>
      <c r="D104" s="23"/>
      <c r="E104" s="23"/>
      <c r="F104" s="23"/>
      <c r="G104" s="23"/>
      <c r="H104" s="23"/>
    </row>
    <row r="106" spans="1:8" x14ac:dyDescent="0.3">
      <c r="A106" s="15"/>
      <c r="B106" s="16" t="s">
        <v>86</v>
      </c>
      <c r="C106" s="15"/>
      <c r="D106" s="15"/>
      <c r="E106" s="15"/>
      <c r="F106" s="15"/>
    </row>
    <row r="107" spans="1:8" ht="15" thickBot="1" x14ac:dyDescent="0.35">
      <c r="A107" s="15"/>
      <c r="B107" s="15"/>
      <c r="C107" s="15"/>
      <c r="D107" s="15"/>
      <c r="E107" s="15"/>
      <c r="F107" s="15"/>
    </row>
    <row r="108" spans="1:8" x14ac:dyDescent="0.3">
      <c r="A108" s="15"/>
      <c r="B108" s="31"/>
      <c r="C108" s="15"/>
      <c r="D108" s="15"/>
      <c r="E108" s="15"/>
      <c r="F108" s="15"/>
    </row>
    <row r="109" spans="1:8" x14ac:dyDescent="0.3">
      <c r="A109" s="15"/>
      <c r="B109" s="32" t="s">
        <v>87</v>
      </c>
      <c r="C109" s="15"/>
      <c r="D109" s="15"/>
      <c r="E109" s="15"/>
      <c r="F109" s="15"/>
    </row>
    <row r="110" spans="1:8" x14ac:dyDescent="0.3">
      <c r="A110" s="15"/>
      <c r="B110" s="32">
        <v>4</v>
      </c>
      <c r="C110" s="15"/>
      <c r="D110" s="15"/>
      <c r="E110" s="15"/>
      <c r="F110" s="15"/>
    </row>
    <row r="111" spans="1:8" x14ac:dyDescent="0.3">
      <c r="A111" s="15"/>
      <c r="B111" s="32"/>
      <c r="C111" s="15"/>
      <c r="D111" s="15"/>
      <c r="E111" s="15"/>
      <c r="F111" s="15"/>
    </row>
    <row r="112" spans="1:8" x14ac:dyDescent="0.3">
      <c r="A112" s="15"/>
      <c r="B112" s="32">
        <v>3</v>
      </c>
      <c r="C112" s="15"/>
      <c r="D112" s="15"/>
      <c r="E112" s="15"/>
      <c r="F112" s="15"/>
    </row>
    <row r="113" spans="1:6" x14ac:dyDescent="0.3">
      <c r="A113" s="15"/>
      <c r="B113" s="32"/>
      <c r="C113" s="15"/>
      <c r="D113" s="15"/>
      <c r="E113" s="15"/>
      <c r="F113" s="15"/>
    </row>
    <row r="114" spans="1:6" x14ac:dyDescent="0.3">
      <c r="A114" s="15"/>
      <c r="B114" s="32" t="s">
        <v>88</v>
      </c>
      <c r="C114" s="15"/>
      <c r="D114" s="15"/>
      <c r="E114" s="15"/>
      <c r="F114" s="15"/>
    </row>
    <row r="115" spans="1:6" x14ac:dyDescent="0.3">
      <c r="A115" s="15"/>
      <c r="B115" s="32"/>
      <c r="C115" s="15"/>
      <c r="D115" s="15"/>
      <c r="E115" s="15"/>
      <c r="F115" s="15"/>
    </row>
    <row r="116" spans="1:6" x14ac:dyDescent="0.3">
      <c r="A116" s="15"/>
      <c r="B116" s="32" t="e">
        <v>#DIV/0!</v>
      </c>
      <c r="C116" s="15"/>
      <c r="D116" s="15"/>
      <c r="E116" s="15"/>
      <c r="F116" s="15"/>
    </row>
    <row r="117" spans="1:6" x14ac:dyDescent="0.3">
      <c r="A117" s="15"/>
      <c r="B117" s="32" t="s">
        <v>89</v>
      </c>
      <c r="C117" s="15"/>
      <c r="D117" s="15"/>
      <c r="E117" s="15"/>
      <c r="F117" s="15"/>
    </row>
    <row r="118" spans="1:6" ht="15" thickBot="1" x14ac:dyDescent="0.35">
      <c r="A118" s="15"/>
      <c r="B118" s="33" t="s">
        <v>90</v>
      </c>
      <c r="C118" s="15"/>
      <c r="D118" s="15"/>
      <c r="E118" s="15"/>
      <c r="F118" s="15"/>
    </row>
    <row r="119" spans="1:6" x14ac:dyDescent="0.3">
      <c r="A119" s="15"/>
      <c r="B119" s="15"/>
      <c r="C119" s="15"/>
      <c r="D119" s="15"/>
      <c r="E119" s="15"/>
      <c r="F119" s="15"/>
    </row>
    <row r="120" spans="1:6" x14ac:dyDescent="0.3">
      <c r="A120" s="15"/>
      <c r="B120" s="16" t="s">
        <v>91</v>
      </c>
      <c r="C120" s="15"/>
      <c r="D120" s="15"/>
      <c r="E120" s="15"/>
      <c r="F120" s="15"/>
    </row>
    <row r="121" spans="1:6" x14ac:dyDescent="0.3">
      <c r="A121" s="15"/>
      <c r="B121" s="15"/>
      <c r="C121" s="15"/>
      <c r="D121" s="15"/>
      <c r="E121" s="15"/>
      <c r="F121" s="15"/>
    </row>
    <row r="122" spans="1:6" x14ac:dyDescent="0.3">
      <c r="A122" s="16">
        <v>1</v>
      </c>
      <c r="B122" s="16" t="s">
        <v>92</v>
      </c>
      <c r="C122" s="15"/>
      <c r="D122" s="15"/>
      <c r="E122" s="15"/>
      <c r="F122" s="15"/>
    </row>
    <row r="123" spans="1:6" x14ac:dyDescent="0.3">
      <c r="A123" s="15"/>
      <c r="B123" s="34">
        <f>COUNT(B108:B118)</f>
        <v>2</v>
      </c>
      <c r="C123" s="16"/>
      <c r="D123" s="15"/>
      <c r="E123" s="15"/>
      <c r="F123" s="15"/>
    </row>
    <row r="124" spans="1:6" x14ac:dyDescent="0.3">
      <c r="A124" s="15"/>
      <c r="B124" s="15"/>
      <c r="C124" s="15"/>
      <c r="D124" s="15"/>
      <c r="E124" s="15"/>
      <c r="F124" s="15"/>
    </row>
    <row r="125" spans="1:6" x14ac:dyDescent="0.3">
      <c r="A125" s="16">
        <v>2</v>
      </c>
      <c r="B125" s="16" t="s">
        <v>93</v>
      </c>
      <c r="C125" s="15"/>
      <c r="D125" s="15"/>
      <c r="E125" s="15"/>
      <c r="F125" s="15"/>
    </row>
    <row r="126" spans="1:6" x14ac:dyDescent="0.3">
      <c r="A126" s="15"/>
      <c r="B126" s="34">
        <f>COUNTBLANK(B108:B118)</f>
        <v>4</v>
      </c>
      <c r="C126" s="16"/>
      <c r="D126" s="15"/>
      <c r="E126" s="15"/>
      <c r="F126" s="15"/>
    </row>
    <row r="127" spans="1:6" x14ac:dyDescent="0.3">
      <c r="A127" s="15"/>
      <c r="B127" s="15"/>
      <c r="C127" s="15"/>
      <c r="D127" s="15"/>
      <c r="E127" s="15"/>
      <c r="F127" s="15"/>
    </row>
    <row r="128" spans="1:6" x14ac:dyDescent="0.3">
      <c r="A128" s="16">
        <v>3</v>
      </c>
      <c r="B128" s="16" t="s">
        <v>94</v>
      </c>
      <c r="C128" s="15"/>
      <c r="D128" s="15"/>
      <c r="E128" s="15"/>
      <c r="F128" s="15"/>
    </row>
    <row r="129" spans="1:15" x14ac:dyDescent="0.3">
      <c r="A129" s="15"/>
      <c r="B129" s="34">
        <f>COUNTA(B108:B118)-COUNT(B108:B118)</f>
        <v>5</v>
      </c>
      <c r="C129" s="16"/>
      <c r="D129" s="15"/>
      <c r="E129" s="15"/>
      <c r="F129" s="15"/>
    </row>
    <row r="130" spans="1:15" x14ac:dyDescent="0.3">
      <c r="A130" s="15"/>
      <c r="B130" s="15"/>
      <c r="C130" s="15"/>
      <c r="D130" s="15"/>
      <c r="E130" s="15"/>
      <c r="F130" s="15"/>
    </row>
    <row r="131" spans="1:15" x14ac:dyDescent="0.3">
      <c r="A131" s="16">
        <v>4</v>
      </c>
      <c r="B131" s="16" t="s">
        <v>95</v>
      </c>
      <c r="C131" s="15"/>
      <c r="D131" s="15"/>
      <c r="E131" s="15"/>
      <c r="F131" s="15"/>
    </row>
    <row r="132" spans="1:15" x14ac:dyDescent="0.3">
      <c r="B132" s="35">
        <f>ROWS(B3:B13)</f>
        <v>11</v>
      </c>
      <c r="C132" s="16"/>
      <c r="D132" s="15"/>
      <c r="E132" s="15"/>
      <c r="F132" s="15"/>
    </row>
    <row r="134" spans="1:15" x14ac:dyDescent="0.3">
      <c r="A134" s="9" t="s">
        <v>96</v>
      </c>
    </row>
    <row r="136" spans="1:15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</row>
    <row r="137" spans="1:15" x14ac:dyDescent="0.3">
      <c r="A137" s="22"/>
      <c r="B137" s="36" t="s">
        <v>97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</row>
    <row r="138" spans="1:15" x14ac:dyDescent="0.3">
      <c r="A138" s="22"/>
      <c r="B138" s="37" t="s">
        <v>98</v>
      </c>
      <c r="C138" s="37">
        <v>101</v>
      </c>
      <c r="D138" s="37">
        <v>102</v>
      </c>
      <c r="E138" s="37">
        <v>103</v>
      </c>
      <c r="F138" s="37">
        <v>104</v>
      </c>
      <c r="G138" s="37">
        <v>105</v>
      </c>
      <c r="H138" s="37">
        <v>106</v>
      </c>
      <c r="I138" s="37">
        <v>107</v>
      </c>
      <c r="J138" s="37">
        <v>108</v>
      </c>
      <c r="K138" s="37">
        <v>109</v>
      </c>
      <c r="L138" s="37">
        <v>110</v>
      </c>
      <c r="M138" s="22"/>
      <c r="N138" s="22"/>
      <c r="O138" s="22"/>
    </row>
    <row r="139" spans="1:15" x14ac:dyDescent="0.3">
      <c r="A139" s="22"/>
      <c r="B139" s="37" t="s">
        <v>99</v>
      </c>
      <c r="C139" s="38" t="s">
        <v>100</v>
      </c>
      <c r="D139" s="38" t="s">
        <v>101</v>
      </c>
      <c r="E139" s="38" t="s">
        <v>102</v>
      </c>
      <c r="F139" s="38" t="s">
        <v>103</v>
      </c>
      <c r="G139" s="38" t="s">
        <v>104</v>
      </c>
      <c r="H139" s="38" t="s">
        <v>105</v>
      </c>
      <c r="I139" s="38" t="s">
        <v>106</v>
      </c>
      <c r="J139" s="38" t="s">
        <v>107</v>
      </c>
      <c r="K139" s="38" t="s">
        <v>108</v>
      </c>
      <c r="L139" s="38" t="s">
        <v>109</v>
      </c>
      <c r="M139" s="22"/>
      <c r="N139" s="22"/>
      <c r="O139" s="22"/>
    </row>
    <row r="140" spans="1:15" x14ac:dyDescent="0.3">
      <c r="A140" s="22"/>
      <c r="B140" s="37" t="s">
        <v>110</v>
      </c>
      <c r="C140" s="38" t="s">
        <v>111</v>
      </c>
      <c r="D140" s="38" t="s">
        <v>112</v>
      </c>
      <c r="E140" s="38" t="s">
        <v>113</v>
      </c>
      <c r="F140" s="38" t="s">
        <v>114</v>
      </c>
      <c r="G140" s="38" t="s">
        <v>111</v>
      </c>
      <c r="H140" s="38" t="s">
        <v>112</v>
      </c>
      <c r="I140" s="38" t="s">
        <v>113</v>
      </c>
      <c r="J140" s="38" t="s">
        <v>114</v>
      </c>
      <c r="K140" s="38" t="s">
        <v>111</v>
      </c>
      <c r="L140" s="38" t="s">
        <v>112</v>
      </c>
      <c r="M140" s="22"/>
      <c r="N140" s="22"/>
      <c r="O140" s="22"/>
    </row>
    <row r="141" spans="1:15" x14ac:dyDescent="0.3">
      <c r="A141" s="22"/>
      <c r="B141" s="37" t="s">
        <v>115</v>
      </c>
      <c r="C141" s="38">
        <v>50000</v>
      </c>
      <c r="D141" s="38">
        <v>55000</v>
      </c>
      <c r="E141" s="38">
        <v>60000</v>
      </c>
      <c r="F141" s="38">
        <v>65000</v>
      </c>
      <c r="G141" s="38">
        <v>70000</v>
      </c>
      <c r="H141" s="38">
        <v>75000</v>
      </c>
      <c r="I141" s="38">
        <v>80000</v>
      </c>
      <c r="J141" s="38">
        <v>85000</v>
      </c>
      <c r="K141" s="38">
        <v>90000</v>
      </c>
      <c r="L141" s="38">
        <v>95000</v>
      </c>
      <c r="M141" s="22"/>
      <c r="N141" s="22"/>
      <c r="O141" s="22"/>
    </row>
    <row r="142" spans="1:15" x14ac:dyDescent="0.3">
      <c r="A142" s="22"/>
      <c r="B142" s="37" t="s">
        <v>116</v>
      </c>
      <c r="C142" s="38">
        <v>2000</v>
      </c>
      <c r="D142" s="38">
        <v>2500</v>
      </c>
      <c r="E142" s="38">
        <v>3000</v>
      </c>
      <c r="F142" s="38">
        <v>3500</v>
      </c>
      <c r="G142" s="38">
        <v>4000</v>
      </c>
      <c r="H142" s="38">
        <v>4500</v>
      </c>
      <c r="I142" s="38">
        <v>5000</v>
      </c>
      <c r="J142" s="38">
        <v>5500</v>
      </c>
      <c r="K142" s="38">
        <v>6000</v>
      </c>
      <c r="L142" s="38">
        <v>6500</v>
      </c>
      <c r="M142" s="22"/>
      <c r="N142" s="22"/>
      <c r="O142" s="22"/>
    </row>
    <row r="143" spans="1:15" x14ac:dyDescent="0.3">
      <c r="A143" s="22"/>
      <c r="B143" s="37" t="s">
        <v>117</v>
      </c>
      <c r="C143" s="38">
        <v>52000</v>
      </c>
      <c r="D143" s="38">
        <v>57500</v>
      </c>
      <c r="E143" s="38">
        <v>63000</v>
      </c>
      <c r="F143" s="38">
        <v>685000</v>
      </c>
      <c r="G143" s="38">
        <v>74000</v>
      </c>
      <c r="H143" s="38">
        <v>79500</v>
      </c>
      <c r="I143" s="38">
        <v>85000</v>
      </c>
      <c r="J143" s="38">
        <v>90500</v>
      </c>
      <c r="K143" s="38">
        <v>96000</v>
      </c>
      <c r="L143" s="38">
        <v>101500</v>
      </c>
      <c r="M143" s="22"/>
      <c r="N143" s="22"/>
      <c r="O143" s="22"/>
    </row>
    <row r="144" spans="1:15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</row>
    <row r="145" spans="1:15" x14ac:dyDescent="0.3">
      <c r="A145" s="21">
        <v>1</v>
      </c>
      <c r="B145" s="36" t="s">
        <v>118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</row>
    <row r="146" spans="1:15" x14ac:dyDescent="0.3">
      <c r="A146" s="21"/>
      <c r="B146" s="22"/>
      <c r="C146" s="36"/>
      <c r="D146" s="36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</row>
    <row r="147" spans="1:15" x14ac:dyDescent="0.3">
      <c r="A147" s="21"/>
      <c r="B147" s="22" t="s">
        <v>119</v>
      </c>
      <c r="C147" s="39" t="str">
        <f>HLOOKUP(102,B138:D140,3,FALSE)</f>
        <v>Marketing</v>
      </c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</row>
    <row r="148" spans="1:15" x14ac:dyDescent="0.3">
      <c r="A148" s="21"/>
      <c r="B148" s="36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</row>
    <row r="149" spans="1:15" x14ac:dyDescent="0.3">
      <c r="A149" s="21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</row>
    <row r="150" spans="1:15" x14ac:dyDescent="0.3">
      <c r="A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</row>
    <row r="151" spans="1:15" x14ac:dyDescent="0.3">
      <c r="A151" s="21"/>
      <c r="B151" s="40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</row>
    <row r="152" spans="1:15" x14ac:dyDescent="0.3">
      <c r="A152" s="21"/>
      <c r="B152" s="40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</row>
    <row r="153" spans="1:15" x14ac:dyDescent="0.3">
      <c r="A153" s="21"/>
      <c r="B153" s="40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</row>
    <row r="154" spans="1:15" x14ac:dyDescent="0.3">
      <c r="A154" s="21"/>
      <c r="B154" s="40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</row>
    <row r="155" spans="1:15" x14ac:dyDescent="0.3">
      <c r="A155" s="21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</row>
    <row r="156" spans="1:15" x14ac:dyDescent="0.3">
      <c r="A156" s="21">
        <v>2</v>
      </c>
      <c r="B156" s="36" t="s">
        <v>120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</row>
    <row r="157" spans="1:15" x14ac:dyDescent="0.3">
      <c r="A157" s="21"/>
      <c r="B157" s="22"/>
      <c r="C157" s="36"/>
      <c r="D157" s="36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</row>
    <row r="158" spans="1:15" x14ac:dyDescent="0.3">
      <c r="A158" s="21"/>
      <c r="B158" s="22" t="s">
        <v>119</v>
      </c>
      <c r="C158" s="39">
        <f>HLOOKUP(105,B138:G141,4,FALSE)</f>
        <v>70000</v>
      </c>
      <c r="D158" s="22"/>
      <c r="E158" s="22"/>
      <c r="F158" s="22"/>
      <c r="G158" s="22"/>
      <c r="H158" s="22"/>
      <c r="I158" s="22"/>
      <c r="J158" s="22"/>
      <c r="K158" s="22"/>
      <c r="L158" s="40"/>
      <c r="M158" s="22"/>
      <c r="N158" s="22"/>
      <c r="O158" s="22"/>
    </row>
    <row r="159" spans="1:15" x14ac:dyDescent="0.3">
      <c r="A159" s="21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</row>
    <row r="160" spans="1:15" x14ac:dyDescent="0.3">
      <c r="A160" s="21"/>
      <c r="B160" s="36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</row>
    <row r="161" spans="1:15" x14ac:dyDescent="0.3">
      <c r="A161" s="21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</row>
    <row r="162" spans="1:15" x14ac:dyDescent="0.3">
      <c r="A162" s="21"/>
      <c r="B162" s="40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</row>
    <row r="163" spans="1:15" x14ac:dyDescent="0.3">
      <c r="A163" s="21"/>
      <c r="B163" s="40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</row>
    <row r="164" spans="1:15" x14ac:dyDescent="0.3">
      <c r="A164" s="21"/>
      <c r="B164" s="40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</row>
    <row r="165" spans="1:15" x14ac:dyDescent="0.3">
      <c r="A165" s="21"/>
      <c r="B165" s="40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</row>
    <row r="166" spans="1:15" x14ac:dyDescent="0.3">
      <c r="A166" s="21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</row>
    <row r="167" spans="1:15" x14ac:dyDescent="0.3">
      <c r="A167" s="21">
        <v>3</v>
      </c>
      <c r="B167" s="36" t="s">
        <v>121</v>
      </c>
      <c r="C167" s="36"/>
      <c r="D167" s="36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</row>
    <row r="168" spans="1:15" x14ac:dyDescent="0.3">
      <c r="A168" s="21"/>
      <c r="B168" s="21" t="s">
        <v>119</v>
      </c>
      <c r="C168" s="39">
        <f>HLOOKUP(107,B138:I143,6,FALSE)</f>
        <v>85000</v>
      </c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</row>
    <row r="169" spans="1:15" x14ac:dyDescent="0.3">
      <c r="A169" s="21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</row>
    <row r="170" spans="1:15" x14ac:dyDescent="0.3">
      <c r="A170" s="21"/>
      <c r="B170" s="36" t="s">
        <v>122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</row>
    <row r="171" spans="1:15" x14ac:dyDescent="0.3">
      <c r="A171" s="21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</row>
    <row r="172" spans="1:15" x14ac:dyDescent="0.3">
      <c r="A172" s="21" t="s">
        <v>96</v>
      </c>
      <c r="B172" s="40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</row>
    <row r="173" spans="1:15" x14ac:dyDescent="0.3">
      <c r="A173" s="21"/>
      <c r="B173" s="40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</row>
    <row r="174" spans="1:15" x14ac:dyDescent="0.3">
      <c r="A174" s="41"/>
      <c r="B174" s="42" t="s">
        <v>123</v>
      </c>
      <c r="C174" s="41"/>
      <c r="D174" s="41"/>
      <c r="E174" s="41"/>
      <c r="F174" s="41"/>
      <c r="G174" s="41"/>
      <c r="H174" s="41"/>
      <c r="I174" s="41"/>
      <c r="J174" s="41"/>
      <c r="K174" s="41"/>
      <c r="L174" s="22"/>
      <c r="M174" s="22"/>
      <c r="N174" s="22"/>
      <c r="O174" s="22"/>
    </row>
    <row r="175" spans="1:15" x14ac:dyDescent="0.3">
      <c r="A175" s="41"/>
      <c r="B175" s="43" t="s">
        <v>1</v>
      </c>
      <c r="C175" s="43" t="s">
        <v>124</v>
      </c>
      <c r="D175" s="43" t="s">
        <v>125</v>
      </c>
      <c r="E175" s="43" t="s">
        <v>126</v>
      </c>
      <c r="F175" s="41"/>
      <c r="G175" s="41"/>
      <c r="H175" s="41"/>
      <c r="I175" s="41"/>
      <c r="J175" s="41"/>
      <c r="K175" s="41"/>
      <c r="L175" s="22"/>
      <c r="M175" s="22"/>
      <c r="N175" s="22"/>
      <c r="O175" s="22"/>
    </row>
    <row r="176" spans="1:15" x14ac:dyDescent="0.3">
      <c r="A176" s="41"/>
      <c r="B176" s="44" t="s">
        <v>127</v>
      </c>
      <c r="C176" s="44">
        <v>35</v>
      </c>
      <c r="D176" s="44" t="s">
        <v>128</v>
      </c>
      <c r="E176" s="44" t="s">
        <v>129</v>
      </c>
      <c r="F176" s="41"/>
      <c r="G176" s="41"/>
      <c r="H176" s="41"/>
      <c r="I176" s="41"/>
      <c r="J176" s="41"/>
      <c r="K176" s="41"/>
      <c r="L176" s="22"/>
      <c r="M176" s="22"/>
      <c r="N176" s="22"/>
      <c r="O176" s="22"/>
    </row>
    <row r="177" spans="1:15" x14ac:dyDescent="0.3">
      <c r="A177" s="41"/>
      <c r="B177" s="44" t="s">
        <v>130</v>
      </c>
      <c r="C177" s="44">
        <v>42</v>
      </c>
      <c r="D177" s="44" t="s">
        <v>131</v>
      </c>
      <c r="E177" s="44" t="s">
        <v>132</v>
      </c>
      <c r="F177" s="41"/>
      <c r="G177" s="41"/>
      <c r="H177" s="41"/>
      <c r="I177" s="41"/>
      <c r="J177" s="41"/>
      <c r="K177" s="41"/>
      <c r="L177" s="22"/>
      <c r="M177" s="22"/>
      <c r="N177" s="22"/>
      <c r="O177" s="22"/>
    </row>
    <row r="178" spans="1:15" x14ac:dyDescent="0.3">
      <c r="A178" s="41"/>
      <c r="B178" s="44" t="s">
        <v>102</v>
      </c>
      <c r="C178" s="44">
        <v>28</v>
      </c>
      <c r="D178" s="44" t="s">
        <v>128</v>
      </c>
      <c r="E178" s="44" t="s">
        <v>133</v>
      </c>
      <c r="F178" s="41"/>
      <c r="G178" s="41"/>
      <c r="H178" s="41"/>
      <c r="I178" s="41"/>
      <c r="J178" s="41"/>
      <c r="K178" s="41"/>
    </row>
    <row r="179" spans="1:15" x14ac:dyDescent="0.3">
      <c r="A179" s="41"/>
      <c r="B179" s="44" t="s">
        <v>134</v>
      </c>
      <c r="C179" s="44">
        <v>25</v>
      </c>
      <c r="D179" s="44" t="s">
        <v>131</v>
      </c>
      <c r="E179" s="44" t="s">
        <v>111</v>
      </c>
      <c r="F179" s="41"/>
      <c r="G179" s="41"/>
      <c r="H179" s="41"/>
      <c r="I179" s="41"/>
      <c r="J179" s="41"/>
      <c r="K179" s="41"/>
    </row>
    <row r="180" spans="1:15" x14ac:dyDescent="0.3">
      <c r="A180" s="41"/>
      <c r="B180" s="44" t="s">
        <v>135</v>
      </c>
      <c r="C180" s="44">
        <v>31</v>
      </c>
      <c r="D180" s="44" t="s">
        <v>128</v>
      </c>
      <c r="E180" s="44" t="s">
        <v>112</v>
      </c>
      <c r="F180" s="41"/>
      <c r="G180" s="41"/>
      <c r="H180" s="41"/>
      <c r="I180" s="41"/>
      <c r="J180" s="41"/>
      <c r="K180" s="41"/>
    </row>
    <row r="181" spans="1:15" x14ac:dyDescent="0.3">
      <c r="A181" s="41"/>
      <c r="B181" s="44" t="s">
        <v>136</v>
      </c>
      <c r="C181" s="44">
        <v>27</v>
      </c>
      <c r="D181" s="44" t="s">
        <v>131</v>
      </c>
      <c r="E181" s="44" t="s">
        <v>137</v>
      </c>
      <c r="F181" s="41"/>
      <c r="G181" s="41"/>
      <c r="H181" s="41"/>
      <c r="I181" s="41"/>
      <c r="J181" s="41"/>
      <c r="K181" s="41"/>
    </row>
    <row r="182" spans="1:15" x14ac:dyDescent="0.3">
      <c r="A182" s="41"/>
      <c r="B182" s="44" t="s">
        <v>138</v>
      </c>
      <c r="C182" s="44">
        <v>38</v>
      </c>
      <c r="D182" s="44" t="s">
        <v>128</v>
      </c>
      <c r="E182" s="44" t="s">
        <v>139</v>
      </c>
      <c r="F182" s="41"/>
      <c r="G182" s="41"/>
      <c r="H182" s="41"/>
      <c r="I182" s="41"/>
      <c r="J182" s="41"/>
      <c r="K182" s="41"/>
    </row>
    <row r="183" spans="1:15" x14ac:dyDescent="0.3">
      <c r="A183" s="41"/>
      <c r="B183" s="44" t="s">
        <v>140</v>
      </c>
      <c r="C183" s="44">
        <v>29</v>
      </c>
      <c r="D183" s="44" t="s">
        <v>131</v>
      </c>
      <c r="E183" s="44" t="s">
        <v>141</v>
      </c>
      <c r="F183" s="41"/>
      <c r="G183" s="41"/>
      <c r="H183" s="41"/>
      <c r="I183" s="41"/>
      <c r="J183" s="41"/>
      <c r="K183" s="41"/>
    </row>
    <row r="184" spans="1:15" x14ac:dyDescent="0.3">
      <c r="A184" s="41"/>
      <c r="B184" s="44" t="s">
        <v>142</v>
      </c>
      <c r="C184" s="44">
        <v>45</v>
      </c>
      <c r="D184" s="44" t="s">
        <v>128</v>
      </c>
      <c r="E184" s="44" t="s">
        <v>143</v>
      </c>
      <c r="F184" s="41"/>
      <c r="G184" s="41"/>
      <c r="H184" s="41"/>
      <c r="I184" s="41"/>
      <c r="J184" s="41"/>
      <c r="K184" s="41"/>
    </row>
    <row r="185" spans="1:15" x14ac:dyDescent="0.3">
      <c r="A185" s="41"/>
      <c r="B185" s="44" t="s">
        <v>144</v>
      </c>
      <c r="C185" s="44">
        <v>33</v>
      </c>
      <c r="D185" s="44" t="s">
        <v>131</v>
      </c>
      <c r="E185" s="44" t="s">
        <v>145</v>
      </c>
      <c r="F185" s="41"/>
      <c r="G185" s="41"/>
      <c r="H185" s="41"/>
      <c r="I185" s="41"/>
      <c r="J185" s="41"/>
      <c r="K185" s="41"/>
    </row>
    <row r="186" spans="1:15" x14ac:dyDescent="0.3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</row>
    <row r="187" spans="1:15" x14ac:dyDescent="0.3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</row>
    <row r="188" spans="1:15" x14ac:dyDescent="0.3">
      <c r="A188" s="41"/>
      <c r="B188" s="45" t="s">
        <v>146</v>
      </c>
      <c r="C188" s="41"/>
      <c r="D188" s="41"/>
      <c r="E188" s="41"/>
      <c r="F188" s="41"/>
      <c r="G188" s="41"/>
      <c r="H188" s="41"/>
      <c r="I188" s="41"/>
      <c r="J188" s="41"/>
      <c r="K188" s="41"/>
    </row>
    <row r="189" spans="1:15" x14ac:dyDescent="0.3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</row>
    <row r="190" spans="1:15" x14ac:dyDescent="0.3">
      <c r="A190" s="41">
        <v>1</v>
      </c>
      <c r="B190" s="41" t="s">
        <v>147</v>
      </c>
      <c r="C190" s="41"/>
      <c r="D190" s="41"/>
      <c r="E190" s="41"/>
      <c r="F190" s="41"/>
      <c r="G190" s="41"/>
      <c r="H190" s="41"/>
      <c r="I190" s="41"/>
      <c r="J190" s="41"/>
      <c r="K190" s="41"/>
    </row>
    <row r="191" spans="1:15" x14ac:dyDescent="0.3">
      <c r="A191" s="41"/>
      <c r="B191" s="41"/>
      <c r="C191" s="46" t="s">
        <v>148</v>
      </c>
      <c r="D191" s="46"/>
      <c r="E191" s="41"/>
      <c r="F191" s="41"/>
      <c r="G191" s="41"/>
      <c r="H191" s="41"/>
      <c r="I191" s="41"/>
      <c r="J191" s="41"/>
      <c r="K191" s="41"/>
    </row>
    <row r="192" spans="1:15" x14ac:dyDescent="0.3">
      <c r="A192" s="41"/>
      <c r="B192" s="42" t="s">
        <v>119</v>
      </c>
      <c r="C192" s="47" t="str">
        <f>VLOOKUP("Jane Doe", B177:E185,4,FALSE)</f>
        <v>Data Scientist</v>
      </c>
      <c r="D192" s="41"/>
      <c r="E192" s="41"/>
      <c r="F192" s="41"/>
      <c r="G192" s="41"/>
      <c r="H192" s="41"/>
      <c r="I192" s="41"/>
      <c r="J192" s="41"/>
      <c r="K192" s="41"/>
    </row>
    <row r="193" spans="1:15" x14ac:dyDescent="0.3">
      <c r="A193" s="41"/>
      <c r="B193" s="134" t="str">
        <f>VLOOKUP("Jane Doe", B177:E185,4,FALSE)</f>
        <v>Data Scientist</v>
      </c>
      <c r="C193" s="134"/>
      <c r="D193" s="134"/>
      <c r="E193" s="134"/>
      <c r="F193" s="134"/>
      <c r="G193" s="134"/>
      <c r="H193" s="134"/>
      <c r="I193" s="134"/>
      <c r="J193" s="134"/>
      <c r="K193" s="134"/>
    </row>
    <row r="194" spans="1:15" x14ac:dyDescent="0.3">
      <c r="A194" s="41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</row>
    <row r="195" spans="1:15" x14ac:dyDescent="0.3">
      <c r="A195" s="41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</row>
    <row r="196" spans="1:15" x14ac:dyDescent="0.3">
      <c r="A196" s="41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</row>
    <row r="197" spans="1:15" x14ac:dyDescent="0.3">
      <c r="A197" s="41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</row>
    <row r="198" spans="1:15" x14ac:dyDescent="0.3">
      <c r="A198" s="41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</row>
    <row r="199" spans="1:15" x14ac:dyDescent="0.3">
      <c r="A199" s="41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</row>
    <row r="200" spans="1:15" x14ac:dyDescent="0.3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</row>
    <row r="201" spans="1:15" x14ac:dyDescent="0.3">
      <c r="A201" s="41">
        <v>2</v>
      </c>
      <c r="B201" s="41" t="s">
        <v>149</v>
      </c>
      <c r="C201" s="41"/>
      <c r="D201" s="41"/>
      <c r="E201" s="41"/>
      <c r="F201" s="41"/>
      <c r="G201" s="41"/>
      <c r="H201" s="41"/>
      <c r="I201" s="41"/>
      <c r="J201" s="41"/>
      <c r="K201" s="41"/>
      <c r="N201" t="str">
        <f>VLOOKUP("Jane Doe", B177:E185,4,FALSE)</f>
        <v>Data Scientist</v>
      </c>
    </row>
    <row r="202" spans="1:15" x14ac:dyDescent="0.3">
      <c r="A202" s="41"/>
      <c r="B202" s="41"/>
      <c r="C202" s="46" t="s">
        <v>148</v>
      </c>
      <c r="D202" s="46"/>
      <c r="E202" s="41"/>
      <c r="F202" s="41"/>
      <c r="G202" s="41"/>
      <c r="H202" s="41"/>
      <c r="I202" s="41"/>
      <c r="J202" s="41"/>
      <c r="K202" s="41"/>
    </row>
    <row r="203" spans="1:15" x14ac:dyDescent="0.3">
      <c r="A203" s="41"/>
      <c r="B203" s="42" t="s">
        <v>119</v>
      </c>
      <c r="C203" s="47">
        <f>VLOOKUP("Mike Lee",B177:E185,2,FALSE)</f>
        <v>45</v>
      </c>
      <c r="D203" s="41"/>
      <c r="E203" s="41"/>
      <c r="F203" s="41"/>
      <c r="G203" s="41"/>
      <c r="H203" s="41"/>
      <c r="I203" s="41"/>
      <c r="J203" s="41"/>
      <c r="K203" s="41"/>
    </row>
    <row r="204" spans="1:15" x14ac:dyDescent="0.3">
      <c r="A204" s="41"/>
      <c r="B204" s="134">
        <f>VLOOKUP("Mike Lee",B177:E185,2,FALSE)</f>
        <v>45</v>
      </c>
      <c r="C204" s="134"/>
      <c r="D204" s="134"/>
      <c r="E204" s="134"/>
      <c r="F204" s="134"/>
      <c r="G204" s="134"/>
      <c r="H204" s="134"/>
      <c r="I204" s="134"/>
      <c r="J204" s="134"/>
      <c r="K204" s="134"/>
    </row>
    <row r="205" spans="1:15" x14ac:dyDescent="0.3">
      <c r="A205" s="41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</row>
    <row r="206" spans="1:15" x14ac:dyDescent="0.3">
      <c r="A206" s="41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N206" t="s">
        <v>151</v>
      </c>
      <c r="O206" t="s">
        <v>152</v>
      </c>
    </row>
    <row r="207" spans="1:15" x14ac:dyDescent="0.3">
      <c r="A207" s="41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</row>
    <row r="208" spans="1:15" x14ac:dyDescent="0.3">
      <c r="A208" s="41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</row>
    <row r="209" spans="1:11" x14ac:dyDescent="0.3">
      <c r="A209" s="41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</row>
    <row r="210" spans="1:11" x14ac:dyDescent="0.3">
      <c r="A210" s="41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</row>
    <row r="211" spans="1:11" x14ac:dyDescent="0.3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</row>
    <row r="212" spans="1:11" x14ac:dyDescent="0.3">
      <c r="A212" s="41">
        <v>2</v>
      </c>
      <c r="B212" s="41" t="s">
        <v>150</v>
      </c>
      <c r="C212" s="41"/>
      <c r="D212" s="41"/>
      <c r="E212" s="41"/>
      <c r="F212" s="41"/>
      <c r="G212" s="41"/>
      <c r="H212" s="41"/>
      <c r="I212" s="41"/>
      <c r="J212" s="41"/>
      <c r="K212" s="41"/>
    </row>
    <row r="213" spans="1:11" x14ac:dyDescent="0.3">
      <c r="A213" s="41"/>
      <c r="B213" s="41"/>
      <c r="C213" s="46" t="s">
        <v>148</v>
      </c>
      <c r="D213" s="46"/>
      <c r="E213" s="41"/>
      <c r="F213" s="41"/>
      <c r="G213" s="41"/>
      <c r="H213" s="41"/>
      <c r="I213" s="41"/>
      <c r="J213" s="41"/>
      <c r="K213" s="41"/>
    </row>
    <row r="214" spans="1:11" x14ac:dyDescent="0.3">
      <c r="A214" s="41"/>
      <c r="B214" s="42" t="s">
        <v>119</v>
      </c>
      <c r="C214" s="47" t="str">
        <f>VLOOKUP("B*", B177:E185, 4, FALSE)</f>
        <v>Accountant</v>
      </c>
      <c r="D214" s="41"/>
      <c r="E214" s="41"/>
      <c r="F214" s="41"/>
      <c r="G214" s="41"/>
      <c r="H214" s="41"/>
      <c r="I214" s="41"/>
      <c r="J214" s="41"/>
      <c r="K214" s="41"/>
    </row>
    <row r="215" spans="1:11" x14ac:dyDescent="0.3">
      <c r="A215" s="41"/>
      <c r="B215" s="134" t="str">
        <f>VLOOKUP("B*", B177:E185, 4, FALSE)</f>
        <v>Accountant</v>
      </c>
      <c r="C215" s="134"/>
      <c r="D215" s="134"/>
      <c r="E215" s="134"/>
      <c r="F215" s="134"/>
      <c r="G215" s="134"/>
      <c r="H215" s="134"/>
      <c r="I215" s="134"/>
      <c r="J215" s="134"/>
      <c r="K215" s="134"/>
    </row>
    <row r="216" spans="1:11" x14ac:dyDescent="0.3">
      <c r="A216" s="41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</row>
    <row r="217" spans="1:11" x14ac:dyDescent="0.3">
      <c r="A217" s="41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</row>
    <row r="218" spans="1:11" x14ac:dyDescent="0.3">
      <c r="A218" s="41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</row>
    <row r="219" spans="1:11" x14ac:dyDescent="0.3">
      <c r="A219" s="41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</row>
    <row r="220" spans="1:11" x14ac:dyDescent="0.3">
      <c r="A220" s="41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</row>
    <row r="221" spans="1:11" x14ac:dyDescent="0.3">
      <c r="A221" s="41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</row>
    <row r="222" spans="1:11" x14ac:dyDescent="0.3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</row>
    <row r="223" spans="1:11" x14ac:dyDescent="0.3">
      <c r="A223" s="42" t="s">
        <v>153</v>
      </c>
      <c r="B223" s="41"/>
      <c r="C223" s="41"/>
      <c r="D223" s="41"/>
      <c r="E223" s="41"/>
      <c r="F223" s="41"/>
      <c r="G223" s="41"/>
      <c r="H223" s="41"/>
      <c r="I223" s="41"/>
      <c r="J223" s="41"/>
      <c r="K223" s="41"/>
    </row>
    <row r="224" spans="1:11" x14ac:dyDescent="0.3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</row>
    <row r="225" spans="1:11" x14ac:dyDescent="0.3">
      <c r="A225" s="48" t="s">
        <v>154</v>
      </c>
      <c r="B225" s="23"/>
      <c r="C225" s="23"/>
      <c r="D225" s="23"/>
      <c r="E225" s="23"/>
      <c r="F225" s="41"/>
      <c r="G225" s="41"/>
      <c r="H225" s="41"/>
      <c r="I225" s="41"/>
      <c r="J225" s="41"/>
      <c r="K225" s="41"/>
    </row>
    <row r="226" spans="1:11" x14ac:dyDescent="0.3">
      <c r="A226" s="6" t="s">
        <v>155</v>
      </c>
      <c r="B226" s="23"/>
      <c r="C226" s="23"/>
      <c r="D226" s="23"/>
      <c r="E226" s="23"/>
      <c r="F226" s="41"/>
      <c r="G226" s="41"/>
      <c r="H226" s="41"/>
      <c r="I226" s="41"/>
      <c r="J226" s="41"/>
      <c r="K226" s="41"/>
    </row>
    <row r="227" spans="1:11" x14ac:dyDescent="0.3">
      <c r="A227" s="6" t="s">
        <v>156</v>
      </c>
      <c r="B227" s="23"/>
      <c r="C227" s="23"/>
      <c r="D227" s="23"/>
      <c r="E227" s="23"/>
    </row>
    <row r="228" spans="1:11" x14ac:dyDescent="0.3">
      <c r="A228" s="6" t="s">
        <v>157</v>
      </c>
      <c r="B228" s="23"/>
      <c r="C228" s="23"/>
      <c r="D228" s="23"/>
      <c r="E228" s="23"/>
    </row>
    <row r="229" spans="1:11" x14ac:dyDescent="0.3">
      <c r="A229" s="23"/>
      <c r="B229" s="23"/>
      <c r="C229" s="23"/>
      <c r="D229" s="23"/>
      <c r="E229" s="23"/>
    </row>
    <row r="230" spans="1:11" x14ac:dyDescent="0.3">
      <c r="A230" s="49" t="s">
        <v>1</v>
      </c>
      <c r="B230" s="49" t="s">
        <v>158</v>
      </c>
      <c r="C230" s="49" t="s">
        <v>159</v>
      </c>
      <c r="D230" s="23"/>
      <c r="E230" s="23"/>
    </row>
    <row r="231" spans="1:11" x14ac:dyDescent="0.3">
      <c r="A231" s="1" t="s">
        <v>160</v>
      </c>
      <c r="B231" s="1">
        <v>98</v>
      </c>
      <c r="C231" s="50" t="str">
        <f>IF(B231&gt;=60,"PASS","FAIL")</f>
        <v>PASS</v>
      </c>
      <c r="D231" s="6"/>
      <c r="E231" s="23"/>
    </row>
    <row r="232" spans="1:11" x14ac:dyDescent="0.3">
      <c r="A232" s="1" t="s">
        <v>161</v>
      </c>
      <c r="B232" s="1">
        <v>55</v>
      </c>
      <c r="C232" s="50" t="str">
        <f>IF(B232&gt;=60,"PASS","FAIL")</f>
        <v>FAIL</v>
      </c>
      <c r="D232" s="6"/>
      <c r="E232" s="23"/>
    </row>
    <row r="233" spans="1:11" x14ac:dyDescent="0.3">
      <c r="A233" s="1" t="s">
        <v>162</v>
      </c>
      <c r="B233" s="1">
        <v>15</v>
      </c>
      <c r="C233" s="50" t="str">
        <f>IF(B233&gt;=60,"PASS","FAIL")</f>
        <v>FAIL</v>
      </c>
      <c r="D233" s="6"/>
      <c r="E233" s="23"/>
    </row>
    <row r="234" spans="1:11" x14ac:dyDescent="0.3">
      <c r="A234" s="1" t="s">
        <v>163</v>
      </c>
      <c r="B234" s="1">
        <v>60</v>
      </c>
      <c r="C234" s="50" t="str">
        <f>IF(B234&gt;=60,"PASS","FAIL")</f>
        <v>PASS</v>
      </c>
      <c r="D234" s="6"/>
      <c r="E234" s="23"/>
    </row>
    <row r="235" spans="1:11" x14ac:dyDescent="0.3">
      <c r="A235" s="23"/>
      <c r="B235" s="23"/>
      <c r="C235" s="23"/>
      <c r="D235" s="23"/>
      <c r="E235" s="6"/>
    </row>
    <row r="236" spans="1:11" x14ac:dyDescent="0.3">
      <c r="A236" s="5" t="s">
        <v>164</v>
      </c>
    </row>
    <row r="238" spans="1:11" x14ac:dyDescent="0.3">
      <c r="A238" s="48" t="s">
        <v>165</v>
      </c>
    </row>
    <row r="239" spans="1:11" x14ac:dyDescent="0.3">
      <c r="A239" s="51" t="s">
        <v>166</v>
      </c>
    </row>
    <row r="240" spans="1:11" x14ac:dyDescent="0.3">
      <c r="A240" s="48" t="s">
        <v>167</v>
      </c>
    </row>
    <row r="241" spans="1:5" x14ac:dyDescent="0.3">
      <c r="A241" s="52"/>
    </row>
    <row r="242" spans="1:5" x14ac:dyDescent="0.3">
      <c r="B242" s="6" t="s">
        <v>4</v>
      </c>
      <c r="C242" s="6" t="s">
        <v>5</v>
      </c>
    </row>
    <row r="243" spans="1:5" x14ac:dyDescent="0.3">
      <c r="A243" s="1"/>
      <c r="B243" s="1" t="s">
        <v>168</v>
      </c>
      <c r="C243" s="1" t="s">
        <v>169</v>
      </c>
      <c r="D243" s="49" t="s">
        <v>170</v>
      </c>
    </row>
    <row r="244" spans="1:5" x14ac:dyDescent="0.3">
      <c r="A244" s="1" t="s">
        <v>171</v>
      </c>
      <c r="B244" s="53">
        <v>94</v>
      </c>
      <c r="C244" s="53">
        <v>94</v>
      </c>
      <c r="D244" s="50" t="str">
        <f>IF(B244=C244,"MATCH","NO MATCH")</f>
        <v>MATCH</v>
      </c>
      <c r="E244" s="6"/>
    </row>
    <row r="245" spans="1:5" x14ac:dyDescent="0.3">
      <c r="A245" s="1" t="s">
        <v>172</v>
      </c>
      <c r="B245" s="53">
        <v>109</v>
      </c>
      <c r="C245" s="53">
        <v>109</v>
      </c>
      <c r="D245" s="50" t="str">
        <f t="shared" ref="D245:D247" si="0">IF(B245=C245,"MATCH","NO MATCH")</f>
        <v>MATCH</v>
      </c>
      <c r="E245" s="6"/>
    </row>
    <row r="246" spans="1:5" x14ac:dyDescent="0.3">
      <c r="A246" s="1" t="s">
        <v>173</v>
      </c>
      <c r="B246" s="53">
        <v>85</v>
      </c>
      <c r="C246" s="53">
        <v>85.5</v>
      </c>
      <c r="D246" s="50" t="str">
        <f t="shared" si="0"/>
        <v>NO MATCH</v>
      </c>
      <c r="E246" s="6"/>
    </row>
    <row r="247" spans="1:5" x14ac:dyDescent="0.3">
      <c r="A247" s="1" t="s">
        <v>174</v>
      </c>
      <c r="B247" s="53">
        <v>12</v>
      </c>
      <c r="C247" s="53">
        <v>12</v>
      </c>
      <c r="D247" s="50" t="str">
        <f t="shared" si="0"/>
        <v>MATCH</v>
      </c>
      <c r="E247" s="6"/>
    </row>
    <row r="249" spans="1:5" x14ac:dyDescent="0.3">
      <c r="A249" s="5" t="s">
        <v>175</v>
      </c>
    </row>
    <row r="251" spans="1:5" x14ac:dyDescent="0.3">
      <c r="B251" s="6" t="s">
        <v>176</v>
      </c>
    </row>
    <row r="252" spans="1:5" x14ac:dyDescent="0.3">
      <c r="A252" s="54">
        <v>1</v>
      </c>
      <c r="B252" s="55" t="s">
        <v>177</v>
      </c>
    </row>
    <row r="253" spans="1:5" x14ac:dyDescent="0.3">
      <c r="A253" s="54"/>
      <c r="B253" s="56"/>
    </row>
    <row r="254" spans="1:5" x14ac:dyDescent="0.3">
      <c r="A254" s="54">
        <v>2</v>
      </c>
      <c r="B254" s="55" t="s">
        <v>178</v>
      </c>
    </row>
    <row r="255" spans="1:5" x14ac:dyDescent="0.3">
      <c r="A255" s="54"/>
      <c r="B255" s="6"/>
    </row>
    <row r="256" spans="1:5" x14ac:dyDescent="0.3">
      <c r="A256" s="54"/>
      <c r="B256" s="6"/>
    </row>
    <row r="257" spans="1:8" x14ac:dyDescent="0.3">
      <c r="E257" s="1" t="s">
        <v>179</v>
      </c>
      <c r="F257" s="1" t="s">
        <v>180</v>
      </c>
    </row>
    <row r="258" spans="1:8" x14ac:dyDescent="0.3">
      <c r="B258" s="57" t="s">
        <v>181</v>
      </c>
      <c r="C258" s="57" t="s">
        <v>1</v>
      </c>
      <c r="D258" s="58" t="s">
        <v>124</v>
      </c>
      <c r="E258" s="57" t="s">
        <v>182</v>
      </c>
      <c r="F258" s="57" t="s">
        <v>183</v>
      </c>
      <c r="H258" s="6"/>
    </row>
    <row r="259" spans="1:8" x14ac:dyDescent="0.3">
      <c r="B259" s="1">
        <v>1</v>
      </c>
      <c r="C259" s="1" t="s">
        <v>184</v>
      </c>
      <c r="D259" s="59">
        <v>16</v>
      </c>
      <c r="E259" s="50" t="str">
        <f>IF(D259&gt;=16,"eligible","not eligible")</f>
        <v>eligible</v>
      </c>
      <c r="F259" s="50" t="str">
        <f>IF(D259&lt;18,"minor","adult")</f>
        <v>minor</v>
      </c>
      <c r="H259" s="6"/>
    </row>
    <row r="260" spans="1:8" x14ac:dyDescent="0.3">
      <c r="B260" s="1">
        <v>2</v>
      </c>
      <c r="C260" s="1" t="s">
        <v>185</v>
      </c>
      <c r="D260" s="59">
        <v>18</v>
      </c>
      <c r="E260" s="50" t="str">
        <f t="shared" ref="E260:E266" si="1">IF(D260&gt;=16,"eligible","not eligible")</f>
        <v>eligible</v>
      </c>
      <c r="F260" s="50" t="str">
        <f t="shared" ref="F260:F266" si="2">IF(D260&lt;18,"minor","adult")</f>
        <v>adult</v>
      </c>
      <c r="H260" s="6"/>
    </row>
    <row r="261" spans="1:8" x14ac:dyDescent="0.3">
      <c r="B261" s="1">
        <v>3</v>
      </c>
      <c r="C261" s="1" t="s">
        <v>186</v>
      </c>
      <c r="D261" s="59">
        <v>15.5</v>
      </c>
      <c r="E261" s="50" t="str">
        <f t="shared" si="1"/>
        <v>not eligible</v>
      </c>
      <c r="F261" s="50" t="str">
        <f t="shared" si="2"/>
        <v>minor</v>
      </c>
      <c r="H261" s="6"/>
    </row>
    <row r="262" spans="1:8" x14ac:dyDescent="0.3">
      <c r="B262" s="1">
        <v>4</v>
      </c>
      <c r="C262" s="1" t="s">
        <v>187</v>
      </c>
      <c r="D262" s="59">
        <v>19</v>
      </c>
      <c r="E262" s="50" t="str">
        <f t="shared" si="1"/>
        <v>eligible</v>
      </c>
      <c r="F262" s="50" t="str">
        <f t="shared" si="2"/>
        <v>adult</v>
      </c>
      <c r="H262" s="6"/>
    </row>
    <row r="263" spans="1:8" x14ac:dyDescent="0.3">
      <c r="B263" s="1">
        <v>5</v>
      </c>
      <c r="C263" s="1" t="s">
        <v>188</v>
      </c>
      <c r="D263" s="59">
        <v>18</v>
      </c>
      <c r="E263" s="50" t="str">
        <f t="shared" si="1"/>
        <v>eligible</v>
      </c>
      <c r="F263" s="50" t="str">
        <f t="shared" si="2"/>
        <v>adult</v>
      </c>
      <c r="H263" s="6"/>
    </row>
    <row r="264" spans="1:8" x14ac:dyDescent="0.3">
      <c r="B264" s="1">
        <v>6</v>
      </c>
      <c r="C264" s="1" t="s">
        <v>189</v>
      </c>
      <c r="D264" s="59">
        <v>13</v>
      </c>
      <c r="E264" s="50" t="str">
        <f t="shared" si="1"/>
        <v>not eligible</v>
      </c>
      <c r="F264" s="50" t="str">
        <f t="shared" si="2"/>
        <v>minor</v>
      </c>
      <c r="H264" s="6"/>
    </row>
    <row r="265" spans="1:8" x14ac:dyDescent="0.3">
      <c r="B265" s="1">
        <v>7</v>
      </c>
      <c r="C265" s="1" t="s">
        <v>190</v>
      </c>
      <c r="D265" s="59">
        <v>18</v>
      </c>
      <c r="E265" s="50" t="str">
        <f t="shared" si="1"/>
        <v>eligible</v>
      </c>
      <c r="F265" s="50" t="str">
        <f t="shared" si="2"/>
        <v>adult</v>
      </c>
      <c r="H265" s="6"/>
    </row>
    <row r="266" spans="1:8" x14ac:dyDescent="0.3">
      <c r="B266" s="1">
        <v>8</v>
      </c>
      <c r="C266" s="1" t="s">
        <v>191</v>
      </c>
      <c r="D266" s="59">
        <v>17</v>
      </c>
      <c r="E266" s="50" t="str">
        <f t="shared" si="1"/>
        <v>eligible</v>
      </c>
      <c r="F266" s="50" t="str">
        <f t="shared" si="2"/>
        <v>minor</v>
      </c>
      <c r="H266" s="6"/>
    </row>
    <row r="267" spans="1:8" x14ac:dyDescent="0.3">
      <c r="H267" s="6"/>
    </row>
    <row r="268" spans="1:8" x14ac:dyDescent="0.3">
      <c r="B268" s="52"/>
      <c r="C268" s="52"/>
      <c r="D268" s="52"/>
    </row>
    <row r="269" spans="1:8" x14ac:dyDescent="0.3">
      <c r="E269" t="s">
        <v>194</v>
      </c>
      <c r="F269" t="s">
        <v>192</v>
      </c>
    </row>
    <row r="270" spans="1:8" x14ac:dyDescent="0.3">
      <c r="E270" t="s">
        <v>195</v>
      </c>
      <c r="F270" t="s">
        <v>193</v>
      </c>
    </row>
    <row r="272" spans="1:8" x14ac:dyDescent="0.3">
      <c r="A272" s="9" t="s">
        <v>196</v>
      </c>
    </row>
    <row r="274" spans="1:6" x14ac:dyDescent="0.3">
      <c r="A274" s="23" t="s">
        <v>197</v>
      </c>
      <c r="B274" s="23"/>
      <c r="C274" s="23"/>
      <c r="D274" s="23"/>
      <c r="E274" s="23"/>
      <c r="F274" s="23"/>
    </row>
    <row r="275" spans="1:6" x14ac:dyDescent="0.3">
      <c r="A275" s="23"/>
      <c r="B275" s="23"/>
      <c r="C275" s="23"/>
      <c r="D275" s="23"/>
      <c r="E275" s="23"/>
      <c r="F275" s="23"/>
    </row>
    <row r="276" spans="1:6" x14ac:dyDescent="0.3">
      <c r="A276" s="23"/>
      <c r="B276" s="23" t="s">
        <v>66</v>
      </c>
      <c r="C276" s="23"/>
      <c r="D276" s="23"/>
      <c r="E276" s="23"/>
      <c r="F276" s="23"/>
    </row>
    <row r="277" spans="1:6" x14ac:dyDescent="0.3">
      <c r="A277" s="60" t="s">
        <v>198</v>
      </c>
      <c r="B277" s="61">
        <v>1</v>
      </c>
      <c r="C277" s="23"/>
      <c r="D277" s="23"/>
      <c r="E277" s="23"/>
      <c r="F277" s="23"/>
    </row>
    <row r="278" spans="1:6" x14ac:dyDescent="0.3">
      <c r="A278" s="60" t="s">
        <v>199</v>
      </c>
      <c r="B278" s="61">
        <v>0.5</v>
      </c>
      <c r="C278" s="23"/>
      <c r="D278" s="23"/>
      <c r="E278" s="23"/>
      <c r="F278" s="23"/>
    </row>
    <row r="279" spans="1:6" x14ac:dyDescent="0.3">
      <c r="A279" s="23"/>
      <c r="B279" s="23"/>
      <c r="C279" s="23"/>
      <c r="D279" s="23"/>
      <c r="E279" s="23"/>
      <c r="F279" s="23"/>
    </row>
    <row r="280" spans="1:6" x14ac:dyDescent="0.3">
      <c r="A280" s="23" t="s">
        <v>200</v>
      </c>
      <c r="B280" s="23"/>
      <c r="C280" s="23"/>
      <c r="D280" s="23"/>
      <c r="E280" s="23"/>
      <c r="F280" s="23"/>
    </row>
    <row r="281" spans="1:6" x14ac:dyDescent="0.3">
      <c r="A281" s="23" t="s">
        <v>201</v>
      </c>
      <c r="B281" s="23"/>
      <c r="C281" s="23"/>
      <c r="D281" s="23"/>
      <c r="E281" s="23"/>
      <c r="F281" s="23"/>
    </row>
    <row r="282" spans="1:6" x14ac:dyDescent="0.3">
      <c r="A282" s="23"/>
      <c r="B282" s="23"/>
      <c r="C282" s="23"/>
      <c r="D282" s="23"/>
      <c r="E282" s="23"/>
      <c r="F282" s="23"/>
    </row>
    <row r="283" spans="1:6" x14ac:dyDescent="0.3">
      <c r="A283" s="62" t="s">
        <v>1</v>
      </c>
      <c r="B283" s="62" t="s">
        <v>202</v>
      </c>
      <c r="C283" s="62" t="s">
        <v>203</v>
      </c>
      <c r="D283" s="62" t="s">
        <v>204</v>
      </c>
      <c r="E283" s="23"/>
      <c r="F283" s="23"/>
    </row>
    <row r="284" spans="1:6" x14ac:dyDescent="0.3">
      <c r="A284" s="60" t="s">
        <v>205</v>
      </c>
      <c r="B284" s="60" t="s">
        <v>198</v>
      </c>
      <c r="C284" s="63">
        <v>46866</v>
      </c>
      <c r="D284" s="64">
        <f>IF(B284="A+",C284*100%,C284*50%)</f>
        <v>46866</v>
      </c>
      <c r="E284" s="23"/>
      <c r="F284" s="23"/>
    </row>
    <row r="285" spans="1:6" x14ac:dyDescent="0.3">
      <c r="A285" s="60" t="s">
        <v>206</v>
      </c>
      <c r="B285" s="60" t="s">
        <v>199</v>
      </c>
      <c r="C285" s="63">
        <v>33495</v>
      </c>
      <c r="D285" s="64">
        <f t="shared" ref="D285:D290" si="3">IF(B285="A+",C285*100%,C285*50%)</f>
        <v>16747.5</v>
      </c>
      <c r="E285" s="23"/>
      <c r="F285" s="23"/>
    </row>
    <row r="286" spans="1:6" x14ac:dyDescent="0.3">
      <c r="A286" s="60" t="s">
        <v>207</v>
      </c>
      <c r="B286" s="60" t="s">
        <v>199</v>
      </c>
      <c r="C286" s="63">
        <v>35087</v>
      </c>
      <c r="D286" s="64">
        <f t="shared" si="3"/>
        <v>17543.5</v>
      </c>
      <c r="E286" s="23"/>
      <c r="F286" s="23"/>
    </row>
    <row r="287" spans="1:6" x14ac:dyDescent="0.3">
      <c r="A287" s="60" t="s">
        <v>208</v>
      </c>
      <c r="B287" s="60" t="s">
        <v>198</v>
      </c>
      <c r="C287" s="63">
        <v>42603</v>
      </c>
      <c r="D287" s="64">
        <f t="shared" si="3"/>
        <v>42603</v>
      </c>
      <c r="E287" s="23"/>
      <c r="F287" s="23"/>
    </row>
    <row r="288" spans="1:6" x14ac:dyDescent="0.3">
      <c r="A288" s="60" t="s">
        <v>188</v>
      </c>
      <c r="B288" s="60" t="s">
        <v>199</v>
      </c>
      <c r="C288" s="63">
        <v>36971</v>
      </c>
      <c r="D288" s="64">
        <f t="shared" si="3"/>
        <v>18485.5</v>
      </c>
      <c r="E288" s="23"/>
      <c r="F288" s="23"/>
    </row>
    <row r="289" spans="1:6" x14ac:dyDescent="0.3">
      <c r="A289" s="60" t="s">
        <v>209</v>
      </c>
      <c r="B289" s="60" t="s">
        <v>198</v>
      </c>
      <c r="C289" s="63">
        <v>41286</v>
      </c>
      <c r="D289" s="64">
        <f t="shared" si="3"/>
        <v>41286</v>
      </c>
      <c r="E289" s="23"/>
      <c r="F289" s="23"/>
    </row>
    <row r="290" spans="1:6" x14ac:dyDescent="0.3">
      <c r="A290" s="60" t="s">
        <v>210</v>
      </c>
      <c r="B290" s="60" t="s">
        <v>199</v>
      </c>
      <c r="C290" s="63">
        <v>37732</v>
      </c>
      <c r="D290" s="64">
        <f t="shared" si="3"/>
        <v>18866</v>
      </c>
      <c r="E290" s="23"/>
      <c r="F290" s="23"/>
    </row>
    <row r="291" spans="1:6" x14ac:dyDescent="0.3">
      <c r="A291" s="23"/>
      <c r="B291" s="23"/>
      <c r="C291" s="23"/>
      <c r="D291" s="23"/>
      <c r="E291" s="23"/>
      <c r="F291" s="23"/>
    </row>
    <row r="292" spans="1:6" x14ac:dyDescent="0.3">
      <c r="A292" s="23"/>
      <c r="B292" t="s">
        <v>211</v>
      </c>
      <c r="C292" s="23"/>
      <c r="D292" s="23"/>
      <c r="E292" s="23"/>
      <c r="F292" s="23"/>
    </row>
    <row r="293" spans="1:6" x14ac:dyDescent="0.3">
      <c r="B293" t="s">
        <v>212</v>
      </c>
    </row>
    <row r="295" spans="1:6" x14ac:dyDescent="0.3">
      <c r="A295" s="9" t="s">
        <v>213</v>
      </c>
    </row>
    <row r="297" spans="1:6" x14ac:dyDescent="0.3">
      <c r="A297" s="65"/>
      <c r="B297" s="6" t="s">
        <v>214</v>
      </c>
    </row>
    <row r="298" spans="1:6" x14ac:dyDescent="0.3">
      <c r="A298" s="66"/>
      <c r="B298" s="67" t="s">
        <v>215</v>
      </c>
      <c r="C298" s="68"/>
    </row>
    <row r="299" spans="1:6" x14ac:dyDescent="0.3">
      <c r="A299" s="69">
        <v>1</v>
      </c>
      <c r="B299" s="6" t="s">
        <v>216</v>
      </c>
    </row>
    <row r="300" spans="1:6" x14ac:dyDescent="0.3">
      <c r="A300" s="70"/>
      <c r="B300" s="49" t="s">
        <v>1</v>
      </c>
      <c r="C300" s="49" t="s">
        <v>2</v>
      </c>
    </row>
    <row r="301" spans="1:6" x14ac:dyDescent="0.3">
      <c r="A301" s="69"/>
      <c r="B301" s="1" t="s">
        <v>217</v>
      </c>
      <c r="C301" s="1">
        <v>200</v>
      </c>
    </row>
    <row r="302" spans="1:6" x14ac:dyDescent="0.3">
      <c r="A302" s="69"/>
      <c r="B302" s="1" t="s">
        <v>218</v>
      </c>
      <c r="C302" s="1">
        <v>120</v>
      </c>
    </row>
    <row r="303" spans="1:6" x14ac:dyDescent="0.3">
      <c r="A303" s="69"/>
      <c r="B303" s="1" t="s">
        <v>219</v>
      </c>
      <c r="C303" s="1">
        <v>156</v>
      </c>
    </row>
    <row r="304" spans="1:6" x14ac:dyDescent="0.3">
      <c r="A304" s="69"/>
      <c r="B304" s="1" t="s">
        <v>220</v>
      </c>
      <c r="C304" s="1">
        <v>190</v>
      </c>
    </row>
    <row r="305" spans="1:6" x14ac:dyDescent="0.3">
      <c r="A305" s="69"/>
      <c r="B305" s="1" t="s">
        <v>221</v>
      </c>
      <c r="C305" s="1">
        <v>320</v>
      </c>
    </row>
    <row r="306" spans="1:6" x14ac:dyDescent="0.3">
      <c r="A306" s="69"/>
      <c r="B306" s="1" t="s">
        <v>222</v>
      </c>
      <c r="C306" s="1">
        <v>89</v>
      </c>
    </row>
    <row r="307" spans="1:6" ht="15" thickBot="1" x14ac:dyDescent="0.35">
      <c r="A307" s="65"/>
    </row>
    <row r="308" spans="1:6" ht="15" thickBot="1" x14ac:dyDescent="0.35">
      <c r="A308" s="69">
        <v>1.1000000000000001</v>
      </c>
      <c r="B308" s="6" t="s">
        <v>223</v>
      </c>
      <c r="C308" s="7">
        <f>MAX(C301:C306)</f>
        <v>320</v>
      </c>
      <c r="D308" s="6"/>
    </row>
    <row r="309" spans="1:6" ht="15" thickBot="1" x14ac:dyDescent="0.35">
      <c r="A309" s="69">
        <v>1.2</v>
      </c>
      <c r="B309" s="6" t="s">
        <v>224</v>
      </c>
      <c r="C309" s="7">
        <f>MIN(C301:C306)</f>
        <v>89</v>
      </c>
      <c r="D309" s="6"/>
    </row>
    <row r="310" spans="1:6" ht="15" thickBot="1" x14ac:dyDescent="0.35">
      <c r="A310" s="69">
        <v>1.3</v>
      </c>
      <c r="B310" s="6" t="s">
        <v>225</v>
      </c>
      <c r="C310" s="7">
        <f>(MAX(C301:C306)+MIN(C301:C306))/2</f>
        <v>204.5</v>
      </c>
      <c r="D310" s="6"/>
    </row>
    <row r="311" spans="1:6" x14ac:dyDescent="0.3">
      <c r="A311" s="65"/>
    </row>
    <row r="312" spans="1:6" x14ac:dyDescent="0.3">
      <c r="A312" s="71" t="s">
        <v>226</v>
      </c>
      <c r="B312" s="6"/>
    </row>
    <row r="314" spans="1:6" x14ac:dyDescent="0.3">
      <c r="A314" s="6"/>
      <c r="B314" s="6" t="s">
        <v>227</v>
      </c>
    </row>
    <row r="316" spans="1:6" x14ac:dyDescent="0.3">
      <c r="A316" s="6"/>
      <c r="B316" s="6" t="s">
        <v>228</v>
      </c>
    </row>
    <row r="317" spans="1:6" x14ac:dyDescent="0.3">
      <c r="A317" s="6"/>
      <c r="B317" s="6" t="s">
        <v>229</v>
      </c>
    </row>
    <row r="318" spans="1:6" x14ac:dyDescent="0.3">
      <c r="A318" s="6"/>
      <c r="B318" s="6" t="s">
        <v>230</v>
      </c>
    </row>
    <row r="319" spans="1:6" x14ac:dyDescent="0.3">
      <c r="A319" s="6"/>
      <c r="B319" s="6"/>
    </row>
    <row r="320" spans="1:6" x14ac:dyDescent="0.3">
      <c r="C320" s="6" t="s">
        <v>231</v>
      </c>
      <c r="D320" s="6" t="s">
        <v>232</v>
      </c>
      <c r="E320" s="6" t="s">
        <v>233</v>
      </c>
      <c r="F320" s="6" t="s">
        <v>234</v>
      </c>
    </row>
    <row r="321" spans="1:9" x14ac:dyDescent="0.3">
      <c r="A321" s="6"/>
      <c r="B321" s="6" t="s">
        <v>235</v>
      </c>
      <c r="C321" s="6">
        <v>95</v>
      </c>
      <c r="D321" s="6">
        <v>56</v>
      </c>
      <c r="E321" s="6">
        <v>14</v>
      </c>
      <c r="F321" s="6">
        <v>66</v>
      </c>
      <c r="G321" s="11" t="str">
        <f>IF(MIN(C321:F321)&lt;50,"FAIL","PASS")</f>
        <v>FAIL</v>
      </c>
      <c r="I321" s="6"/>
    </row>
    <row r="322" spans="1:9" x14ac:dyDescent="0.3">
      <c r="A322" s="6"/>
      <c r="B322" s="6" t="s">
        <v>236</v>
      </c>
      <c r="C322" s="6">
        <v>54</v>
      </c>
      <c r="D322" s="6">
        <v>89</v>
      </c>
      <c r="E322" s="6">
        <v>53</v>
      </c>
      <c r="F322" s="6">
        <v>66</v>
      </c>
      <c r="G322" s="11" t="str">
        <f t="shared" ref="G322:G324" si="4">IF(MIN(C322:F322)&lt;50,"FAIL","PASS")</f>
        <v>PASS</v>
      </c>
      <c r="I322" s="6"/>
    </row>
    <row r="323" spans="1:9" x14ac:dyDescent="0.3">
      <c r="A323" s="6"/>
      <c r="B323" s="6" t="s">
        <v>237</v>
      </c>
      <c r="C323" s="6">
        <v>100</v>
      </c>
      <c r="D323" s="6">
        <v>69</v>
      </c>
      <c r="E323" s="6">
        <v>78</v>
      </c>
      <c r="F323" s="6">
        <v>53</v>
      </c>
      <c r="G323" s="11" t="str">
        <f t="shared" si="4"/>
        <v>PASS</v>
      </c>
      <c r="I323" s="6"/>
    </row>
    <row r="324" spans="1:9" x14ac:dyDescent="0.3">
      <c r="A324" s="6"/>
      <c r="B324" s="6" t="s">
        <v>163</v>
      </c>
      <c r="C324" s="6">
        <v>49</v>
      </c>
      <c r="D324" s="6">
        <v>70</v>
      </c>
      <c r="E324" s="6">
        <v>87</v>
      </c>
      <c r="F324" s="6">
        <v>100</v>
      </c>
      <c r="G324" s="11" t="str">
        <f t="shared" si="4"/>
        <v>FAIL</v>
      </c>
      <c r="I324" s="6"/>
    </row>
    <row r="326" spans="1:9" x14ac:dyDescent="0.3">
      <c r="A326" s="5" t="s">
        <v>238</v>
      </c>
      <c r="B326" s="48"/>
    </row>
    <row r="327" spans="1:9" x14ac:dyDescent="0.3">
      <c r="A327" s="6"/>
      <c r="B327" s="48"/>
    </row>
    <row r="328" spans="1:9" x14ac:dyDescent="0.3">
      <c r="A328" s="6"/>
      <c r="B328" s="6" t="s">
        <v>239</v>
      </c>
    </row>
    <row r="329" spans="1:9" x14ac:dyDescent="0.3">
      <c r="A329" s="6"/>
      <c r="B329" s="48" t="s">
        <v>240</v>
      </c>
    </row>
    <row r="331" spans="1:9" x14ac:dyDescent="0.3">
      <c r="C331" s="6" t="s">
        <v>231</v>
      </c>
    </row>
    <row r="332" spans="1:9" x14ac:dyDescent="0.3">
      <c r="A332" s="6"/>
      <c r="B332" s="6" t="s">
        <v>241</v>
      </c>
      <c r="C332" s="6">
        <v>95</v>
      </c>
    </row>
    <row r="333" spans="1:9" x14ac:dyDescent="0.3">
      <c r="A333" s="6"/>
      <c r="B333" s="6" t="s">
        <v>236</v>
      </c>
      <c r="C333" s="6">
        <v>54</v>
      </c>
    </row>
    <row r="334" spans="1:9" x14ac:dyDescent="0.3">
      <c r="A334" s="6"/>
      <c r="B334" s="6" t="s">
        <v>237</v>
      </c>
      <c r="C334" s="6">
        <v>100</v>
      </c>
    </row>
    <row r="335" spans="1:9" x14ac:dyDescent="0.3">
      <c r="A335" s="6"/>
      <c r="B335" s="6" t="s">
        <v>163</v>
      </c>
      <c r="C335" s="6">
        <v>49</v>
      </c>
    </row>
    <row r="336" spans="1:9" x14ac:dyDescent="0.3">
      <c r="A336" s="6"/>
      <c r="B336" s="6" t="s">
        <v>242</v>
      </c>
      <c r="C336" s="6">
        <v>67</v>
      </c>
    </row>
    <row r="337" spans="1:7" x14ac:dyDescent="0.3">
      <c r="A337" s="6"/>
      <c r="B337" s="6" t="s">
        <v>243</v>
      </c>
      <c r="C337" s="6">
        <v>45</v>
      </c>
    </row>
    <row r="338" spans="1:7" x14ac:dyDescent="0.3">
      <c r="A338" s="6"/>
      <c r="B338" s="6" t="s">
        <v>244</v>
      </c>
      <c r="C338" s="6">
        <v>77</v>
      </c>
    </row>
    <row r="339" spans="1:7" x14ac:dyDescent="0.3">
      <c r="C339" s="11" t="str">
        <f>IF(MAX(C332:C338)&gt;=99,"Easy","not Easy")</f>
        <v>Easy</v>
      </c>
      <c r="E339" s="6"/>
    </row>
    <row r="341" spans="1:7" x14ac:dyDescent="0.3">
      <c r="B341" s="6" t="s">
        <v>245</v>
      </c>
    </row>
    <row r="342" spans="1:7" x14ac:dyDescent="0.3">
      <c r="B342" s="55" t="s">
        <v>246</v>
      </c>
    </row>
    <row r="343" spans="1:7" x14ac:dyDescent="0.3">
      <c r="A343" s="6"/>
      <c r="B343" s="48" t="s">
        <v>247</v>
      </c>
      <c r="D343" s="6"/>
    </row>
    <row r="344" spans="1:7" x14ac:dyDescent="0.3">
      <c r="B344" t="s">
        <v>248</v>
      </c>
    </row>
    <row r="346" spans="1:7" x14ac:dyDescent="0.3">
      <c r="A346" s="9" t="s">
        <v>249</v>
      </c>
    </row>
    <row r="348" spans="1:7" x14ac:dyDescent="0.3">
      <c r="A348" s="5" t="s">
        <v>250</v>
      </c>
      <c r="B348" s="6"/>
      <c r="C348" s="6"/>
      <c r="D348" s="6"/>
      <c r="E348" s="6"/>
      <c r="F348" s="6"/>
      <c r="G348" s="6"/>
    </row>
    <row r="349" spans="1:7" x14ac:dyDescent="0.3">
      <c r="A349" s="6" t="s">
        <v>251</v>
      </c>
      <c r="B349" s="6"/>
      <c r="C349" s="6"/>
      <c r="D349" s="6"/>
      <c r="E349" s="6"/>
      <c r="F349" s="6"/>
      <c r="G349" s="6"/>
    </row>
    <row r="350" spans="1:7" x14ac:dyDescent="0.3">
      <c r="A350" s="72" t="s">
        <v>252</v>
      </c>
      <c r="B350" s="6" t="s">
        <v>253</v>
      </c>
      <c r="C350" s="6"/>
      <c r="D350" s="6"/>
      <c r="E350" s="6"/>
      <c r="F350" s="6"/>
      <c r="G350" s="6"/>
    </row>
    <row r="351" spans="1:7" x14ac:dyDescent="0.3">
      <c r="A351" s="6" t="s">
        <v>254</v>
      </c>
      <c r="B351" s="6" t="s">
        <v>255</v>
      </c>
      <c r="C351" s="6"/>
      <c r="D351" s="6"/>
      <c r="E351" s="6"/>
      <c r="F351" s="6"/>
      <c r="G351" s="6"/>
    </row>
    <row r="352" spans="1:7" x14ac:dyDescent="0.3">
      <c r="A352" s="72" t="s">
        <v>256</v>
      </c>
      <c r="B352" s="6" t="s">
        <v>257</v>
      </c>
      <c r="C352" s="6"/>
      <c r="D352" s="6"/>
      <c r="E352" s="6"/>
      <c r="F352" s="6"/>
      <c r="G352" s="6"/>
    </row>
    <row r="353" spans="1:7" x14ac:dyDescent="0.3">
      <c r="A353" s="6" t="s">
        <v>258</v>
      </c>
      <c r="B353" s="6" t="s">
        <v>259</v>
      </c>
      <c r="C353" s="6"/>
      <c r="D353" s="6"/>
      <c r="E353" s="6"/>
      <c r="F353" s="6"/>
      <c r="G353" s="6"/>
    </row>
    <row r="354" spans="1:7" x14ac:dyDescent="0.3">
      <c r="A354" s="6" t="s">
        <v>260</v>
      </c>
      <c r="B354" s="6" t="s">
        <v>261</v>
      </c>
      <c r="C354" s="6"/>
      <c r="D354" s="6"/>
      <c r="E354" s="6"/>
      <c r="F354" s="6"/>
      <c r="G354" s="6"/>
    </row>
    <row r="355" spans="1:7" x14ac:dyDescent="0.3">
      <c r="A355" s="6" t="s">
        <v>262</v>
      </c>
      <c r="B355" s="6" t="s">
        <v>263</v>
      </c>
      <c r="C355" s="6"/>
      <c r="D355" s="6"/>
      <c r="E355" s="6"/>
      <c r="F355" s="6"/>
      <c r="G355" s="6"/>
    </row>
    <row r="356" spans="1:7" x14ac:dyDescent="0.3">
      <c r="A356" s="6"/>
      <c r="B356" s="6"/>
      <c r="C356" s="6"/>
      <c r="D356" s="6"/>
      <c r="E356" s="6"/>
      <c r="F356" s="6"/>
      <c r="G356" s="6"/>
    </row>
    <row r="357" spans="1:7" x14ac:dyDescent="0.3">
      <c r="A357" s="52" t="s">
        <v>264</v>
      </c>
      <c r="B357" s="6"/>
      <c r="C357" s="6"/>
      <c r="D357" s="6"/>
      <c r="E357" s="6"/>
      <c r="F357" s="6"/>
      <c r="G357" s="6"/>
    </row>
    <row r="358" spans="1:7" x14ac:dyDescent="0.3">
      <c r="A358" s="6">
        <v>2</v>
      </c>
      <c r="B358" s="6" t="s">
        <v>265</v>
      </c>
      <c r="C358" s="6">
        <v>3</v>
      </c>
      <c r="D358" s="11">
        <f>2+3</f>
        <v>5</v>
      </c>
      <c r="E358" s="6"/>
      <c r="F358" s="6"/>
      <c r="G358" s="6"/>
    </row>
    <row r="359" spans="1:7" x14ac:dyDescent="0.3">
      <c r="A359" s="6">
        <v>3</v>
      </c>
      <c r="B359" s="6" t="s">
        <v>266</v>
      </c>
      <c r="C359" s="6">
        <v>1</v>
      </c>
      <c r="D359" s="11">
        <f>3-1</f>
        <v>2</v>
      </c>
      <c r="E359" s="6"/>
      <c r="F359" s="6"/>
      <c r="G359" s="6"/>
    </row>
    <row r="360" spans="1:7" x14ac:dyDescent="0.3">
      <c r="A360" s="6">
        <v>5</v>
      </c>
      <c r="B360" s="6" t="s">
        <v>267</v>
      </c>
      <c r="C360" s="6">
        <v>10</v>
      </c>
      <c r="D360" s="11">
        <f>5*10</f>
        <v>50</v>
      </c>
      <c r="E360" s="6"/>
      <c r="F360" s="6"/>
      <c r="G360" s="6"/>
    </row>
    <row r="361" spans="1:7" x14ac:dyDescent="0.3">
      <c r="A361" s="6">
        <v>10</v>
      </c>
      <c r="B361" s="6" t="s">
        <v>268</v>
      </c>
      <c r="C361" s="6">
        <v>2</v>
      </c>
      <c r="D361" s="11">
        <f>10/2</f>
        <v>5</v>
      </c>
      <c r="E361" s="6"/>
      <c r="F361" s="6"/>
      <c r="G361" s="6"/>
    </row>
    <row r="362" spans="1:7" x14ac:dyDescent="0.3">
      <c r="A362" s="6"/>
      <c r="B362" s="6"/>
      <c r="C362" s="6"/>
      <c r="D362" s="6"/>
      <c r="E362" s="6"/>
      <c r="F362" s="6"/>
      <c r="G362" s="6"/>
    </row>
    <row r="363" spans="1:7" x14ac:dyDescent="0.3">
      <c r="A363" s="6"/>
      <c r="B363" s="6"/>
      <c r="C363" s="6"/>
      <c r="D363" s="6"/>
      <c r="E363" s="6"/>
      <c r="F363" s="6"/>
      <c r="G363" s="6"/>
    </row>
    <row r="364" spans="1:7" x14ac:dyDescent="0.3">
      <c r="A364" s="52" t="s">
        <v>269</v>
      </c>
      <c r="B364" s="6"/>
      <c r="C364" s="6"/>
      <c r="D364" s="6"/>
      <c r="E364" s="6"/>
      <c r="F364" s="6"/>
      <c r="G364" s="6"/>
    </row>
    <row r="365" spans="1:7" x14ac:dyDescent="0.3">
      <c r="A365" s="5">
        <v>10</v>
      </c>
      <c r="B365" s="6" t="s">
        <v>270</v>
      </c>
      <c r="C365" s="6">
        <v>100</v>
      </c>
      <c r="D365" s="73">
        <f>10/100</f>
        <v>0.1</v>
      </c>
      <c r="E365" s="6"/>
      <c r="F365" s="6"/>
      <c r="G365" s="6"/>
    </row>
    <row r="366" spans="1:7" x14ac:dyDescent="0.3">
      <c r="A366" s="5">
        <v>3</v>
      </c>
      <c r="B366" s="6" t="s">
        <v>270</v>
      </c>
      <c r="C366" s="6">
        <v>6</v>
      </c>
      <c r="D366" s="73">
        <f>3/6</f>
        <v>0.5</v>
      </c>
      <c r="E366" s="6"/>
      <c r="F366" s="6"/>
      <c r="G366" s="6"/>
    </row>
    <row r="367" spans="1:7" x14ac:dyDescent="0.3">
      <c r="A367" s="5">
        <v>1.5</v>
      </c>
      <c r="B367" s="6" t="s">
        <v>270</v>
      </c>
      <c r="C367" s="6">
        <v>1</v>
      </c>
      <c r="D367" s="73">
        <f>1.5/1</f>
        <v>1.5</v>
      </c>
      <c r="E367" s="6"/>
      <c r="F367" s="6"/>
      <c r="G367" s="6"/>
    </row>
    <row r="368" spans="1:7" x14ac:dyDescent="0.3">
      <c r="A368" s="6"/>
      <c r="B368" s="6"/>
      <c r="C368" s="6"/>
      <c r="D368" s="6"/>
      <c r="E368" s="6"/>
      <c r="F368" s="6"/>
      <c r="G368" s="6"/>
    </row>
    <row r="369" spans="1:7" x14ac:dyDescent="0.3">
      <c r="A369" s="52" t="s">
        <v>271</v>
      </c>
      <c r="B369" s="6"/>
      <c r="C369" s="6"/>
      <c r="D369" s="6"/>
      <c r="E369" s="6"/>
      <c r="F369" s="6"/>
      <c r="G369" s="6"/>
    </row>
    <row r="370" spans="1:7" x14ac:dyDescent="0.3">
      <c r="A370" s="5" t="s">
        <v>272</v>
      </c>
      <c r="B370" s="5" t="s">
        <v>273</v>
      </c>
      <c r="C370" s="5" t="s">
        <v>274</v>
      </c>
      <c r="D370" s="5" t="s">
        <v>275</v>
      </c>
      <c r="E370" s="5"/>
      <c r="F370" s="6"/>
      <c r="G370" s="6"/>
    </row>
    <row r="371" spans="1:7" x14ac:dyDescent="0.3">
      <c r="A371" s="6" t="s">
        <v>276</v>
      </c>
      <c r="B371" s="6">
        <v>100</v>
      </c>
      <c r="C371" s="6">
        <v>150</v>
      </c>
      <c r="D371" s="73">
        <f>(150-100)/100</f>
        <v>0.5</v>
      </c>
      <c r="E371" s="74"/>
      <c r="F371" s="6"/>
      <c r="G371" s="6"/>
    </row>
    <row r="372" spans="1:7" x14ac:dyDescent="0.3">
      <c r="A372" s="6" t="s">
        <v>277</v>
      </c>
      <c r="B372" s="6">
        <v>100</v>
      </c>
      <c r="C372" s="6">
        <v>50</v>
      </c>
      <c r="D372" s="73">
        <f>(50-100)/100</f>
        <v>-0.5</v>
      </c>
      <c r="E372" s="74"/>
      <c r="F372" s="6"/>
      <c r="G372" s="6"/>
    </row>
    <row r="373" spans="1:7" x14ac:dyDescent="0.3">
      <c r="A373" s="6"/>
      <c r="B373" s="6"/>
      <c r="C373" s="6"/>
      <c r="D373" s="6"/>
      <c r="E373" s="6"/>
      <c r="F373" s="6"/>
      <c r="G373" s="6"/>
    </row>
    <row r="374" spans="1:7" ht="22.8" x14ac:dyDescent="0.4">
      <c r="A374" s="75" t="s">
        <v>278</v>
      </c>
      <c r="B374" s="6"/>
      <c r="C374" s="6"/>
      <c r="D374" s="6"/>
      <c r="E374" s="6"/>
      <c r="F374" s="6"/>
      <c r="G374" s="6"/>
    </row>
    <row r="375" spans="1:7" x14ac:dyDescent="0.3">
      <c r="A375" s="6"/>
      <c r="B375" s="6"/>
      <c r="C375" s="6"/>
      <c r="D375" s="6"/>
      <c r="E375" s="6"/>
      <c r="F375" s="6"/>
      <c r="G375" s="6"/>
    </row>
    <row r="376" spans="1:7" x14ac:dyDescent="0.3">
      <c r="A376" s="5" t="s">
        <v>279</v>
      </c>
      <c r="B376" s="6"/>
      <c r="C376" s="6"/>
      <c r="D376" s="6"/>
      <c r="E376" s="6"/>
      <c r="F376" s="6"/>
      <c r="G376" s="6"/>
    </row>
    <row r="377" spans="1:7" x14ac:dyDescent="0.3">
      <c r="A377" s="6"/>
      <c r="B377" s="6"/>
      <c r="C377" s="6"/>
      <c r="D377" s="6"/>
      <c r="E377" s="6"/>
      <c r="F377" s="6"/>
      <c r="G377" s="6"/>
    </row>
    <row r="378" spans="1:7" x14ac:dyDescent="0.3">
      <c r="A378" t="s">
        <v>280</v>
      </c>
      <c r="F378" s="6"/>
      <c r="G378" s="6"/>
    </row>
    <row r="379" spans="1:7" x14ac:dyDescent="0.3">
      <c r="A379" t="s">
        <v>281</v>
      </c>
    </row>
    <row r="380" spans="1:7" x14ac:dyDescent="0.3">
      <c r="A380" t="s">
        <v>282</v>
      </c>
    </row>
    <row r="381" spans="1:7" x14ac:dyDescent="0.3">
      <c r="A381" t="s">
        <v>283</v>
      </c>
    </row>
    <row r="383" spans="1:7" x14ac:dyDescent="0.3">
      <c r="A383" t="s">
        <v>284</v>
      </c>
    </row>
    <row r="385" spans="1:3" x14ac:dyDescent="0.3">
      <c r="A385" s="76" t="s">
        <v>285</v>
      </c>
      <c r="B385" s="76" t="s">
        <v>158</v>
      </c>
      <c r="C385" s="76" t="s">
        <v>286</v>
      </c>
    </row>
    <row r="386" spans="1:3" x14ac:dyDescent="0.3">
      <c r="A386" s="77" t="s">
        <v>287</v>
      </c>
      <c r="B386" s="77">
        <v>78</v>
      </c>
      <c r="C386" s="78" t="str">
        <f>IF(B386&gt;=80,"EXCELLENT",IF(B386&gt;=60,"GOOD","FAILED"))</f>
        <v>GOOD</v>
      </c>
    </row>
    <row r="387" spans="1:3" x14ac:dyDescent="0.3">
      <c r="A387" s="77" t="s">
        <v>288</v>
      </c>
      <c r="B387" s="77">
        <v>85</v>
      </c>
      <c r="C387" s="78" t="str">
        <f t="shared" ref="C387:C389" si="5">IF(B387&gt;=80,"EXCELLENT",IF(B387&gt;=60,"GOOD","FAILED"))</f>
        <v>EXCELLENT</v>
      </c>
    </row>
    <row r="388" spans="1:3" x14ac:dyDescent="0.3">
      <c r="A388" s="77" t="s">
        <v>289</v>
      </c>
      <c r="B388" s="77">
        <v>44</v>
      </c>
      <c r="C388" s="78" t="str">
        <f t="shared" si="5"/>
        <v>FAILED</v>
      </c>
    </row>
    <row r="389" spans="1:3" x14ac:dyDescent="0.3">
      <c r="A389" s="77" t="s">
        <v>290</v>
      </c>
      <c r="B389" s="77">
        <v>61</v>
      </c>
      <c r="C389" s="78" t="str">
        <f t="shared" si="5"/>
        <v>GOOD</v>
      </c>
    </row>
    <row r="391" spans="1:3" x14ac:dyDescent="0.3">
      <c r="A391" s="9" t="s">
        <v>291</v>
      </c>
    </row>
    <row r="393" spans="1:3" x14ac:dyDescent="0.3">
      <c r="A393" s="6" t="s">
        <v>292</v>
      </c>
    </row>
    <row r="394" spans="1:3" x14ac:dyDescent="0.3">
      <c r="A394" s="6" t="s">
        <v>293</v>
      </c>
    </row>
    <row r="396" spans="1:3" x14ac:dyDescent="0.3">
      <c r="A396" s="52"/>
    </row>
    <row r="397" spans="1:3" x14ac:dyDescent="0.3">
      <c r="A397" s="52" t="s">
        <v>25</v>
      </c>
      <c r="B397" s="52" t="s">
        <v>294</v>
      </c>
    </row>
    <row r="398" spans="1:3" x14ac:dyDescent="0.3">
      <c r="A398" s="6" t="s">
        <v>295</v>
      </c>
      <c r="B398" s="79">
        <v>759</v>
      </c>
    </row>
    <row r="399" spans="1:3" x14ac:dyDescent="0.3">
      <c r="A399" s="6" t="s">
        <v>296</v>
      </c>
      <c r="B399" s="79">
        <v>200</v>
      </c>
    </row>
    <row r="400" spans="1:3" x14ac:dyDescent="0.3">
      <c r="A400" s="6" t="s">
        <v>297</v>
      </c>
      <c r="B400" s="79">
        <v>42</v>
      </c>
    </row>
    <row r="401" spans="1:4" x14ac:dyDescent="0.3">
      <c r="A401" s="6" t="s">
        <v>298</v>
      </c>
      <c r="B401" s="79">
        <v>423</v>
      </c>
    </row>
    <row r="402" spans="1:4" x14ac:dyDescent="0.3">
      <c r="A402" s="6" t="s">
        <v>299</v>
      </c>
      <c r="B402" s="79">
        <v>200</v>
      </c>
    </row>
    <row r="403" spans="1:4" x14ac:dyDescent="0.3">
      <c r="A403" s="6" t="s">
        <v>300</v>
      </c>
      <c r="B403" s="79">
        <v>50</v>
      </c>
    </row>
    <row r="404" spans="1:4" x14ac:dyDescent="0.3">
      <c r="A404" s="6" t="s">
        <v>301</v>
      </c>
      <c r="B404" s="79">
        <v>700</v>
      </c>
    </row>
    <row r="405" spans="1:4" x14ac:dyDescent="0.3">
      <c r="A405" s="6" t="s">
        <v>302</v>
      </c>
      <c r="B405" s="79">
        <v>450</v>
      </c>
    </row>
    <row r="406" spans="1:4" x14ac:dyDescent="0.3">
      <c r="A406" s="6" t="s">
        <v>303</v>
      </c>
      <c r="B406" s="79">
        <v>605</v>
      </c>
    </row>
    <row r="407" spans="1:4" x14ac:dyDescent="0.3">
      <c r="A407" s="6" t="s">
        <v>304</v>
      </c>
      <c r="B407" s="79">
        <v>240</v>
      </c>
    </row>
    <row r="408" spans="1:4" x14ac:dyDescent="0.3">
      <c r="A408" s="6" t="s">
        <v>305</v>
      </c>
      <c r="B408" s="79">
        <v>685</v>
      </c>
    </row>
    <row r="409" spans="1:4" ht="15" thickBot="1" x14ac:dyDescent="0.35">
      <c r="A409" s="6" t="s">
        <v>306</v>
      </c>
      <c r="B409" s="79">
        <v>295</v>
      </c>
    </row>
    <row r="410" spans="1:4" ht="15" thickBot="1" x14ac:dyDescent="0.35">
      <c r="A410" s="6" t="s">
        <v>307</v>
      </c>
      <c r="B410" s="80">
        <f>SUM(B398:B409)</f>
        <v>4649</v>
      </c>
      <c r="C410" s="5" t="s">
        <v>308</v>
      </c>
      <c r="D410" s="5"/>
    </row>
    <row r="412" spans="1:4" x14ac:dyDescent="0.3">
      <c r="A412" s="5" t="s">
        <v>309</v>
      </c>
    </row>
    <row r="414" spans="1:4" x14ac:dyDescent="0.3">
      <c r="A414" s="6" t="s">
        <v>310</v>
      </c>
    </row>
    <row r="415" spans="1:4" x14ac:dyDescent="0.3">
      <c r="A415" s="6" t="s">
        <v>311</v>
      </c>
    </row>
    <row r="417" spans="1:2" x14ac:dyDescent="0.3">
      <c r="A417" s="81" t="s">
        <v>312</v>
      </c>
      <c r="B417" s="82" t="s">
        <v>313</v>
      </c>
    </row>
    <row r="418" spans="1:2" x14ac:dyDescent="0.3">
      <c r="A418" s="83">
        <v>42005</v>
      </c>
      <c r="B418" s="84">
        <v>432.17</v>
      </c>
    </row>
    <row r="419" spans="1:2" x14ac:dyDescent="0.3">
      <c r="A419" s="83">
        <v>42351</v>
      </c>
      <c r="B419" s="84">
        <v>528.5</v>
      </c>
    </row>
    <row r="420" spans="1:2" x14ac:dyDescent="0.3">
      <c r="A420" s="83">
        <v>42007</v>
      </c>
      <c r="B420" s="84">
        <v>810.71</v>
      </c>
    </row>
    <row r="421" spans="1:2" x14ac:dyDescent="0.3">
      <c r="A421" s="83">
        <v>42008</v>
      </c>
      <c r="B421" s="84">
        <v>418.54</v>
      </c>
    </row>
    <row r="422" spans="1:2" x14ac:dyDescent="0.3">
      <c r="A422" s="83">
        <v>42009</v>
      </c>
      <c r="B422" s="84">
        <v>722.22</v>
      </c>
    </row>
    <row r="423" spans="1:2" x14ac:dyDescent="0.3">
      <c r="A423" s="83">
        <v>42010</v>
      </c>
      <c r="B423" s="84">
        <v>460.28</v>
      </c>
    </row>
    <row r="424" spans="1:2" x14ac:dyDescent="0.3">
      <c r="A424" s="83">
        <v>42349</v>
      </c>
      <c r="B424" s="84">
        <v>483.58</v>
      </c>
    </row>
    <row r="425" spans="1:2" x14ac:dyDescent="0.3">
      <c r="A425" s="83">
        <v>42012</v>
      </c>
      <c r="B425" s="84">
        <v>114.53</v>
      </c>
    </row>
    <row r="426" spans="1:2" x14ac:dyDescent="0.3">
      <c r="A426" s="83">
        <v>42013</v>
      </c>
      <c r="B426" s="84">
        <v>609.12</v>
      </c>
    </row>
    <row r="427" spans="1:2" x14ac:dyDescent="0.3">
      <c r="A427" s="83">
        <v>42014</v>
      </c>
      <c r="B427" s="84">
        <v>1197.9000000000001</v>
      </c>
    </row>
    <row r="428" spans="1:2" x14ac:dyDescent="0.3">
      <c r="A428" s="83">
        <v>42015</v>
      </c>
      <c r="B428" s="84">
        <v>228.89</v>
      </c>
    </row>
    <row r="429" spans="1:2" x14ac:dyDescent="0.3">
      <c r="A429" s="83">
        <v>42016</v>
      </c>
      <c r="B429" s="84">
        <v>1380.07</v>
      </c>
    </row>
    <row r="430" spans="1:2" x14ac:dyDescent="0.3">
      <c r="A430" s="83">
        <v>42017</v>
      </c>
      <c r="B430" s="84">
        <v>1026.96</v>
      </c>
    </row>
    <row r="431" spans="1:2" x14ac:dyDescent="0.3">
      <c r="A431" s="83">
        <v>42018</v>
      </c>
      <c r="B431" s="84">
        <v>760.24</v>
      </c>
    </row>
    <row r="432" spans="1:2" x14ac:dyDescent="0.3">
      <c r="A432" s="83">
        <v>42019</v>
      </c>
      <c r="B432" s="84">
        <v>414.11</v>
      </c>
    </row>
    <row r="433" spans="1:2" x14ac:dyDescent="0.3">
      <c r="A433" s="83">
        <v>42020</v>
      </c>
      <c r="B433" s="84">
        <v>1728.81</v>
      </c>
    </row>
    <row r="434" spans="1:2" x14ac:dyDescent="0.3">
      <c r="A434" s="83">
        <v>42021</v>
      </c>
      <c r="B434" s="84">
        <v>276.06</v>
      </c>
    </row>
    <row r="435" spans="1:2" x14ac:dyDescent="0.3">
      <c r="A435" s="83">
        <v>42022</v>
      </c>
      <c r="B435" s="84">
        <v>462.22</v>
      </c>
    </row>
    <row r="436" spans="1:2" x14ac:dyDescent="0.3">
      <c r="A436" s="83">
        <v>42023</v>
      </c>
      <c r="B436" s="84">
        <v>1281.0999999999999</v>
      </c>
    </row>
    <row r="437" spans="1:2" x14ac:dyDescent="0.3">
      <c r="A437" s="83">
        <v>42024</v>
      </c>
      <c r="B437" s="84">
        <v>1113.7</v>
      </c>
    </row>
    <row r="438" spans="1:2" x14ac:dyDescent="0.3">
      <c r="A438" s="83">
        <v>42025</v>
      </c>
      <c r="B438" s="84">
        <v>594.09</v>
      </c>
    </row>
    <row r="439" spans="1:2" x14ac:dyDescent="0.3">
      <c r="A439" s="83">
        <v>42026</v>
      </c>
      <c r="B439" s="84">
        <v>432.67</v>
      </c>
    </row>
    <row r="440" spans="1:2" x14ac:dyDescent="0.3">
      <c r="A440" s="83">
        <v>42027</v>
      </c>
      <c r="B440" s="84">
        <v>874.45</v>
      </c>
    </row>
    <row r="441" spans="1:2" x14ac:dyDescent="0.3">
      <c r="A441" s="83">
        <v>42028</v>
      </c>
      <c r="B441" s="84">
        <v>880.38</v>
      </c>
    </row>
    <row r="442" spans="1:2" x14ac:dyDescent="0.3">
      <c r="A442" s="83">
        <v>42029</v>
      </c>
      <c r="B442" s="84">
        <v>798.53</v>
      </c>
    </row>
    <row r="443" spans="1:2" x14ac:dyDescent="0.3">
      <c r="A443" s="83">
        <v>42318</v>
      </c>
      <c r="B443" s="84">
        <v>572.41999999999996</v>
      </c>
    </row>
    <row r="444" spans="1:2" x14ac:dyDescent="0.3">
      <c r="A444" s="83">
        <v>42031</v>
      </c>
      <c r="B444" s="84">
        <v>330.61</v>
      </c>
    </row>
    <row r="445" spans="1:2" x14ac:dyDescent="0.3">
      <c r="A445" s="83">
        <v>42032</v>
      </c>
      <c r="B445" s="84">
        <v>567.17999999999995</v>
      </c>
    </row>
    <row r="446" spans="1:2" x14ac:dyDescent="0.3">
      <c r="A446" s="83">
        <v>42033</v>
      </c>
      <c r="B446" s="84">
        <v>1449.21</v>
      </c>
    </row>
    <row r="447" spans="1:2" x14ac:dyDescent="0.3">
      <c r="A447" s="83">
        <v>42034</v>
      </c>
      <c r="B447" s="84">
        <v>459.29</v>
      </c>
    </row>
    <row r="448" spans="1:2" x14ac:dyDescent="0.3">
      <c r="A448" s="83">
        <v>42035</v>
      </c>
      <c r="B448" s="84">
        <v>357.55</v>
      </c>
    </row>
    <row r="449" spans="1:2" x14ac:dyDescent="0.3">
      <c r="A449" s="83">
        <v>42036</v>
      </c>
      <c r="B449" s="84">
        <v>154.34</v>
      </c>
    </row>
    <row r="450" spans="1:2" x14ac:dyDescent="0.3">
      <c r="A450" s="83">
        <v>42037</v>
      </c>
      <c r="B450" s="84">
        <v>152.76</v>
      </c>
    </row>
    <row r="451" spans="1:2" x14ac:dyDescent="0.3">
      <c r="A451" s="83">
        <v>42038</v>
      </c>
      <c r="B451" s="84">
        <v>570.22</v>
      </c>
    </row>
    <row r="452" spans="1:2" x14ac:dyDescent="0.3">
      <c r="A452" s="83">
        <v>42039</v>
      </c>
      <c r="B452" s="84">
        <v>987.62</v>
      </c>
    </row>
    <row r="453" spans="1:2" x14ac:dyDescent="0.3">
      <c r="A453" s="83">
        <v>42040</v>
      </c>
      <c r="B453" s="84">
        <v>1755.71</v>
      </c>
    </row>
    <row r="454" spans="1:2" x14ac:dyDescent="0.3">
      <c r="A454" s="83">
        <v>42041</v>
      </c>
      <c r="B454" s="84">
        <v>378.27</v>
      </c>
    </row>
    <row r="455" spans="1:2" x14ac:dyDescent="0.3">
      <c r="A455" s="83">
        <v>42042</v>
      </c>
      <c r="B455" s="84">
        <v>1323.81</v>
      </c>
    </row>
    <row r="456" spans="1:2" x14ac:dyDescent="0.3">
      <c r="A456" s="83">
        <v>42043</v>
      </c>
      <c r="B456" s="84">
        <v>399.02</v>
      </c>
    </row>
    <row r="457" spans="1:2" x14ac:dyDescent="0.3">
      <c r="A457" s="83">
        <v>42044</v>
      </c>
      <c r="B457" s="84">
        <v>154.94999999999999</v>
      </c>
    </row>
    <row r="458" spans="1:2" x14ac:dyDescent="0.3">
      <c r="A458" s="83">
        <v>42045</v>
      </c>
      <c r="B458" s="84">
        <v>1254.57</v>
      </c>
    </row>
    <row r="459" spans="1:2" x14ac:dyDescent="0.3">
      <c r="A459" s="83">
        <v>42046</v>
      </c>
      <c r="B459" s="84">
        <v>627.32000000000005</v>
      </c>
    </row>
    <row r="460" spans="1:2" x14ac:dyDescent="0.3">
      <c r="A460" s="83">
        <v>42230</v>
      </c>
      <c r="B460" s="84">
        <v>880.6</v>
      </c>
    </row>
    <row r="461" spans="1:2" x14ac:dyDescent="0.3">
      <c r="A461" s="83">
        <v>42048</v>
      </c>
      <c r="B461" s="84">
        <v>1196.03</v>
      </c>
    </row>
    <row r="462" spans="1:2" x14ac:dyDescent="0.3">
      <c r="A462" s="83">
        <v>42049</v>
      </c>
      <c r="B462" s="84">
        <v>782.32</v>
      </c>
    </row>
    <row r="463" spans="1:2" x14ac:dyDescent="0.3">
      <c r="A463" s="83">
        <v>42050</v>
      </c>
      <c r="B463" s="84">
        <v>1323.35</v>
      </c>
    </row>
    <row r="464" spans="1:2" x14ac:dyDescent="0.3">
      <c r="A464" s="83">
        <v>42051</v>
      </c>
      <c r="B464" s="84">
        <v>209.92</v>
      </c>
    </row>
    <row r="465" spans="1:2" x14ac:dyDescent="0.3">
      <c r="A465" s="83">
        <v>42052</v>
      </c>
      <c r="B465" s="84">
        <v>1232.05</v>
      </c>
    </row>
    <row r="466" spans="1:2" x14ac:dyDescent="0.3">
      <c r="A466" s="83">
        <v>42053</v>
      </c>
      <c r="B466" s="84">
        <v>713.28</v>
      </c>
    </row>
    <row r="467" spans="1:2" x14ac:dyDescent="0.3">
      <c r="A467" s="83">
        <v>42054</v>
      </c>
      <c r="B467" s="84">
        <v>1674.82</v>
      </c>
    </row>
    <row r="468" spans="1:2" x14ac:dyDescent="0.3">
      <c r="A468" s="83">
        <v>42055</v>
      </c>
      <c r="B468" s="84">
        <v>1161.25</v>
      </c>
    </row>
    <row r="469" spans="1:2" x14ac:dyDescent="0.3">
      <c r="A469" s="83">
        <v>42056</v>
      </c>
      <c r="B469" s="84">
        <v>897.63</v>
      </c>
    </row>
    <row r="470" spans="1:2" x14ac:dyDescent="0.3">
      <c r="A470" s="83">
        <v>42057</v>
      </c>
      <c r="B470" s="84">
        <v>1647.26</v>
      </c>
    </row>
    <row r="471" spans="1:2" x14ac:dyDescent="0.3">
      <c r="A471" s="83">
        <v>42058</v>
      </c>
      <c r="B471" s="84">
        <v>1121.96</v>
      </c>
    </row>
    <row r="472" spans="1:2" x14ac:dyDescent="0.3">
      <c r="A472" s="83">
        <v>42059</v>
      </c>
      <c r="B472" s="84">
        <v>352.2</v>
      </c>
    </row>
    <row r="473" spans="1:2" x14ac:dyDescent="0.3">
      <c r="A473" s="83">
        <v>42060</v>
      </c>
      <c r="B473" s="84">
        <v>270.77999999999997</v>
      </c>
    </row>
    <row r="474" spans="1:2" x14ac:dyDescent="0.3">
      <c r="A474" s="83">
        <v>42061</v>
      </c>
      <c r="B474" s="84">
        <v>456.41</v>
      </c>
    </row>
    <row r="475" spans="1:2" x14ac:dyDescent="0.3">
      <c r="A475" s="83">
        <v>42062</v>
      </c>
      <c r="B475" s="84">
        <v>441</v>
      </c>
    </row>
    <row r="476" spans="1:2" x14ac:dyDescent="0.3">
      <c r="A476" s="83">
        <v>42063</v>
      </c>
      <c r="B476" s="84">
        <v>252.44</v>
      </c>
    </row>
    <row r="477" spans="1:2" x14ac:dyDescent="0.3">
      <c r="A477" s="83">
        <v>42064</v>
      </c>
      <c r="B477" s="84">
        <v>1298.92</v>
      </c>
    </row>
    <row r="478" spans="1:2" x14ac:dyDescent="0.3">
      <c r="A478" s="83">
        <v>42065</v>
      </c>
      <c r="B478" s="84">
        <v>1178.07</v>
      </c>
    </row>
    <row r="479" spans="1:2" x14ac:dyDescent="0.3">
      <c r="A479" s="83">
        <v>42066</v>
      </c>
      <c r="B479" s="84">
        <v>459.95</v>
      </c>
    </row>
    <row r="480" spans="1:2" x14ac:dyDescent="0.3">
      <c r="A480" s="83">
        <v>42067</v>
      </c>
      <c r="B480" s="84">
        <v>1219.7</v>
      </c>
    </row>
    <row r="481" spans="1:5" x14ac:dyDescent="0.3">
      <c r="A481" s="83">
        <v>42068</v>
      </c>
      <c r="B481" s="84">
        <v>152.24</v>
      </c>
    </row>
    <row r="482" spans="1:5" x14ac:dyDescent="0.3">
      <c r="A482" s="83">
        <v>42069</v>
      </c>
      <c r="B482" s="84">
        <v>770.8</v>
      </c>
    </row>
    <row r="483" spans="1:5" x14ac:dyDescent="0.3">
      <c r="A483" s="83">
        <v>42070</v>
      </c>
      <c r="B483" s="84">
        <v>1357.25</v>
      </c>
    </row>
    <row r="484" spans="1:5" x14ac:dyDescent="0.3">
      <c r="A484" s="83">
        <v>42187</v>
      </c>
      <c r="B484" s="84">
        <v>220.18</v>
      </c>
    </row>
    <row r="485" spans="1:5" x14ac:dyDescent="0.3">
      <c r="A485" s="83">
        <v>42072</v>
      </c>
      <c r="B485" s="84">
        <v>1102.81</v>
      </c>
    </row>
    <row r="486" spans="1:5" x14ac:dyDescent="0.3">
      <c r="A486" s="83">
        <v>42073</v>
      </c>
      <c r="B486" s="84">
        <v>1566.83</v>
      </c>
    </row>
    <row r="487" spans="1:5" x14ac:dyDescent="0.3">
      <c r="A487" s="83">
        <v>42074</v>
      </c>
      <c r="B487" s="84">
        <v>437.92</v>
      </c>
    </row>
    <row r="488" spans="1:5" x14ac:dyDescent="0.3">
      <c r="A488" s="83">
        <v>42075</v>
      </c>
      <c r="B488" s="84">
        <v>1216.1199999999999</v>
      </c>
    </row>
    <row r="489" spans="1:5" x14ac:dyDescent="0.3">
      <c r="A489" s="83">
        <v>42076</v>
      </c>
      <c r="B489" s="84">
        <v>273.10000000000002</v>
      </c>
    </row>
    <row r="490" spans="1:5" x14ac:dyDescent="0.3">
      <c r="A490" s="83">
        <v>42077</v>
      </c>
      <c r="B490" s="84">
        <v>242.26</v>
      </c>
    </row>
    <row r="491" spans="1:5" x14ac:dyDescent="0.3">
      <c r="A491" s="83">
        <v>42078</v>
      </c>
      <c r="B491" s="84">
        <v>1512.6</v>
      </c>
    </row>
    <row r="492" spans="1:5" x14ac:dyDescent="0.3">
      <c r="A492" s="83">
        <v>42079</v>
      </c>
      <c r="B492" s="84">
        <v>783.75</v>
      </c>
    </row>
    <row r="493" spans="1:5" x14ac:dyDescent="0.3">
      <c r="A493" s="83">
        <v>42189</v>
      </c>
      <c r="B493" s="84">
        <v>667.99</v>
      </c>
    </row>
    <row r="494" spans="1:5" x14ac:dyDescent="0.3">
      <c r="A494" s="83">
        <v>42081</v>
      </c>
      <c r="B494" s="84">
        <v>1166.31</v>
      </c>
    </row>
    <row r="495" spans="1:5" x14ac:dyDescent="0.3">
      <c r="A495" s="83">
        <v>42082</v>
      </c>
      <c r="B495" s="84">
        <v>770.18</v>
      </c>
    </row>
    <row r="496" spans="1:5" x14ac:dyDescent="0.3">
      <c r="A496" s="83">
        <v>42083</v>
      </c>
      <c r="B496" s="84">
        <v>132.34</v>
      </c>
      <c r="E496" s="86"/>
    </row>
    <row r="497" spans="1:3" x14ac:dyDescent="0.3">
      <c r="A497" s="83">
        <v>42084</v>
      </c>
      <c r="B497" s="84">
        <v>1188.81</v>
      </c>
    </row>
    <row r="498" spans="1:3" x14ac:dyDescent="0.3">
      <c r="A498" s="83">
        <v>42085</v>
      </c>
      <c r="B498" s="84">
        <v>198.06</v>
      </c>
    </row>
    <row r="499" spans="1:3" x14ac:dyDescent="0.3">
      <c r="A499" s="83">
        <v>42086</v>
      </c>
      <c r="B499" s="84">
        <v>594.16999999999996</v>
      </c>
    </row>
    <row r="500" spans="1:3" x14ac:dyDescent="0.3">
      <c r="A500" s="83">
        <v>42087</v>
      </c>
      <c r="B500" s="84">
        <v>931.09</v>
      </c>
    </row>
    <row r="501" spans="1:3" x14ac:dyDescent="0.3">
      <c r="A501" s="83">
        <v>42088</v>
      </c>
      <c r="B501" s="84">
        <v>299.64</v>
      </c>
    </row>
    <row r="502" spans="1:3" x14ac:dyDescent="0.3">
      <c r="A502" s="83">
        <v>42223</v>
      </c>
      <c r="B502" s="84">
        <v>1701.68</v>
      </c>
    </row>
    <row r="503" spans="1:3" x14ac:dyDescent="0.3">
      <c r="A503" s="83">
        <v>42090</v>
      </c>
      <c r="B503" s="84">
        <v>399.15</v>
      </c>
    </row>
    <row r="504" spans="1:3" x14ac:dyDescent="0.3">
      <c r="A504" s="83">
        <v>42091</v>
      </c>
      <c r="B504" s="84">
        <v>374.81</v>
      </c>
    </row>
    <row r="505" spans="1:3" x14ac:dyDescent="0.3">
      <c r="A505" s="83">
        <v>42092</v>
      </c>
      <c r="B505" s="84">
        <v>462.17</v>
      </c>
    </row>
    <row r="506" spans="1:3" x14ac:dyDescent="0.3">
      <c r="A506" s="83">
        <v>42093</v>
      </c>
      <c r="B506" s="84">
        <v>924.29</v>
      </c>
    </row>
    <row r="507" spans="1:3" x14ac:dyDescent="0.3">
      <c r="A507" s="83">
        <v>42094</v>
      </c>
      <c r="B507" s="84">
        <v>5000.6000000000004</v>
      </c>
    </row>
    <row r="508" spans="1:3" x14ac:dyDescent="0.3">
      <c r="A508" s="85"/>
      <c r="B508" s="87">
        <f>SUM(B418:B507)</f>
        <v>72741.76999999996</v>
      </c>
      <c r="C508" s="5" t="s">
        <v>308</v>
      </c>
    </row>
    <row r="510" spans="1:3" x14ac:dyDescent="0.3">
      <c r="A510" s="9" t="s">
        <v>314</v>
      </c>
    </row>
    <row r="512" spans="1:3" x14ac:dyDescent="0.3">
      <c r="A512" s="5">
        <v>1</v>
      </c>
      <c r="B512" s="6" t="s">
        <v>315</v>
      </c>
    </row>
    <row r="514" spans="1:9" x14ac:dyDescent="0.3">
      <c r="B514" s="5" t="s">
        <v>316</v>
      </c>
      <c r="C514" s="88" t="s">
        <v>317</v>
      </c>
      <c r="E514" s="52"/>
    </row>
    <row r="515" spans="1:9" x14ac:dyDescent="0.3">
      <c r="B515" s="6" t="s">
        <v>318</v>
      </c>
      <c r="C515" s="100">
        <f>SUM(D536:D693)</f>
        <v>99498</v>
      </c>
      <c r="D515" s="6"/>
      <c r="E515" s="6"/>
    </row>
    <row r="517" spans="1:9" x14ac:dyDescent="0.3">
      <c r="B517" s="5" t="s">
        <v>316</v>
      </c>
      <c r="C517" s="88" t="s">
        <v>319</v>
      </c>
    </row>
    <row r="518" spans="1:9" x14ac:dyDescent="0.3">
      <c r="B518" s="6" t="s">
        <v>318</v>
      </c>
      <c r="C518" s="101">
        <f>SUM(E536:E693)</f>
        <v>211409</v>
      </c>
      <c r="D518" s="6"/>
    </row>
    <row r="520" spans="1:9" x14ac:dyDescent="0.3">
      <c r="B520" s="5" t="s">
        <v>316</v>
      </c>
      <c r="C520" s="88" t="s">
        <v>320</v>
      </c>
    </row>
    <row r="521" spans="1:9" x14ac:dyDescent="0.3">
      <c r="B521" s="6" t="s">
        <v>318</v>
      </c>
      <c r="C521" s="100">
        <f>SUM(F536:F693)</f>
        <v>127820</v>
      </c>
      <c r="D521" s="6"/>
    </row>
    <row r="523" spans="1:9" x14ac:dyDescent="0.3">
      <c r="A523" s="5">
        <v>2</v>
      </c>
      <c r="B523" s="89" t="s">
        <v>321</v>
      </c>
      <c r="C523" s="102"/>
      <c r="D523" s="90"/>
      <c r="E523" s="90"/>
    </row>
    <row r="524" spans="1:9" x14ac:dyDescent="0.3">
      <c r="C524" s="103">
        <f>SUMIFS(D536:D693,C536:C693,"REGION 3")+SUMIFS(E536:E693,C536:C693,"REGION 3"+SUMIFS(F536:F693,C536:C693,"REGION 3"))</f>
        <v>1371</v>
      </c>
      <c r="D524" s="6"/>
      <c r="E524" s="6"/>
      <c r="F524" s="6"/>
    </row>
    <row r="525" spans="1:9" x14ac:dyDescent="0.3">
      <c r="I525" t="s">
        <v>487</v>
      </c>
    </row>
    <row r="526" spans="1:9" x14ac:dyDescent="0.3">
      <c r="A526" s="5">
        <v>3</v>
      </c>
      <c r="B526" s="89" t="s">
        <v>322</v>
      </c>
      <c r="C526" s="90"/>
      <c r="D526" s="90"/>
      <c r="E526" s="90"/>
      <c r="F526" s="90"/>
      <c r="I526" t="s">
        <v>488</v>
      </c>
    </row>
    <row r="527" spans="1:9" x14ac:dyDescent="0.3">
      <c r="C527" s="91" t="e">
        <f>SUMIFS(D536:F693,C536:C693,"&gt;=1",C536:C693,"&lt;=20")</f>
        <v>#VALUE!</v>
      </c>
      <c r="D527" s="6"/>
      <c r="E527" s="92"/>
      <c r="F527" s="6"/>
    </row>
    <row r="528" spans="1:9" x14ac:dyDescent="0.3">
      <c r="E528" s="92"/>
      <c r="F528" s="6"/>
    </row>
    <row r="529" spans="1:6" x14ac:dyDescent="0.3">
      <c r="A529" s="5">
        <v>4</v>
      </c>
      <c r="B529" s="89" t="s">
        <v>323</v>
      </c>
      <c r="C529" s="90"/>
      <c r="D529" s="90"/>
      <c r="E529" s="90"/>
      <c r="F529" s="90"/>
    </row>
    <row r="530" spans="1:6" x14ac:dyDescent="0.3">
      <c r="B530" s="6" t="s">
        <v>324</v>
      </c>
      <c r="C530" s="93">
        <f>SUM(D536:D693)+SUM(F536:F693)</f>
        <v>227318</v>
      </c>
      <c r="D530" s="6"/>
      <c r="F530" s="5"/>
    </row>
    <row r="531" spans="1:6" x14ac:dyDescent="0.3">
      <c r="B531" s="6" t="s">
        <v>325</v>
      </c>
      <c r="C531" s="94">
        <f>SUM(D536:D693,F536:F693)</f>
        <v>227318</v>
      </c>
      <c r="D531" s="6"/>
      <c r="F531" s="6"/>
    </row>
    <row r="532" spans="1:6" x14ac:dyDescent="0.3">
      <c r="B532" s="6"/>
      <c r="F532" s="6"/>
    </row>
    <row r="533" spans="1:6" x14ac:dyDescent="0.3">
      <c r="F533" s="6"/>
    </row>
    <row r="534" spans="1:6" x14ac:dyDescent="0.3">
      <c r="D534" s="135" t="s">
        <v>316</v>
      </c>
      <c r="E534" s="136"/>
      <c r="F534" s="137"/>
    </row>
    <row r="535" spans="1:6" x14ac:dyDescent="0.3">
      <c r="B535" s="95" t="s">
        <v>326</v>
      </c>
      <c r="C535" s="96" t="s">
        <v>327</v>
      </c>
      <c r="D535" s="88" t="s">
        <v>317</v>
      </c>
      <c r="E535" s="88" t="s">
        <v>319</v>
      </c>
      <c r="F535" s="88" t="s">
        <v>320</v>
      </c>
    </row>
    <row r="536" spans="1:6" x14ac:dyDescent="0.3">
      <c r="B536" s="97" t="s">
        <v>328</v>
      </c>
      <c r="C536" s="97" t="s">
        <v>329</v>
      </c>
      <c r="D536" s="98">
        <v>3419</v>
      </c>
      <c r="E536" s="98">
        <v>4378</v>
      </c>
      <c r="F536" s="99">
        <v>2755</v>
      </c>
    </row>
    <row r="537" spans="1:6" x14ac:dyDescent="0.3">
      <c r="B537" s="97" t="s">
        <v>328</v>
      </c>
      <c r="C537" s="97" t="s">
        <v>330</v>
      </c>
      <c r="D537" s="98">
        <v>1492</v>
      </c>
      <c r="E537" s="98">
        <v>2126</v>
      </c>
      <c r="F537" s="99">
        <v>2103</v>
      </c>
    </row>
    <row r="538" spans="1:6" x14ac:dyDescent="0.3">
      <c r="B538" s="97" t="s">
        <v>328</v>
      </c>
      <c r="C538" s="97" t="s">
        <v>331</v>
      </c>
      <c r="D538" s="98">
        <v>1371</v>
      </c>
      <c r="E538" s="98">
        <v>1930</v>
      </c>
      <c r="F538" s="99">
        <v>1823</v>
      </c>
    </row>
    <row r="539" spans="1:6" x14ac:dyDescent="0.3">
      <c r="B539" s="97" t="s">
        <v>328</v>
      </c>
      <c r="C539" s="97" t="s">
        <v>332</v>
      </c>
      <c r="D539" s="98">
        <v>1607</v>
      </c>
      <c r="E539" s="98">
        <v>2133</v>
      </c>
      <c r="F539" s="99">
        <v>2102</v>
      </c>
    </row>
    <row r="540" spans="1:6" x14ac:dyDescent="0.3">
      <c r="B540" s="97" t="s">
        <v>328</v>
      </c>
      <c r="C540" s="97" t="s">
        <v>333</v>
      </c>
      <c r="D540" s="98">
        <v>951</v>
      </c>
      <c r="E540" s="98">
        <v>1445</v>
      </c>
      <c r="F540" s="99">
        <v>1416</v>
      </c>
    </row>
    <row r="541" spans="1:6" x14ac:dyDescent="0.3">
      <c r="B541" s="97" t="s">
        <v>328</v>
      </c>
      <c r="C541" s="97" t="s">
        <v>334</v>
      </c>
      <c r="D541" s="98">
        <v>889</v>
      </c>
      <c r="E541" s="98">
        <v>1293</v>
      </c>
      <c r="F541" s="99">
        <v>1526</v>
      </c>
    </row>
    <row r="542" spans="1:6" x14ac:dyDescent="0.3">
      <c r="B542" s="97" t="s">
        <v>328</v>
      </c>
      <c r="C542" s="97" t="s">
        <v>335</v>
      </c>
      <c r="D542" s="98">
        <v>1254</v>
      </c>
      <c r="E542" s="98">
        <v>1989</v>
      </c>
      <c r="F542" s="99">
        <v>1685</v>
      </c>
    </row>
    <row r="543" spans="1:6" x14ac:dyDescent="0.3">
      <c r="B543" s="97" t="s">
        <v>328</v>
      </c>
      <c r="C543" s="97" t="s">
        <v>336</v>
      </c>
      <c r="D543" s="98">
        <v>1025</v>
      </c>
      <c r="E543" s="98">
        <v>1362</v>
      </c>
      <c r="F543" s="99">
        <v>2077</v>
      </c>
    </row>
    <row r="544" spans="1:6" x14ac:dyDescent="0.3">
      <c r="B544" s="97" t="s">
        <v>328</v>
      </c>
      <c r="C544" s="97" t="s">
        <v>337</v>
      </c>
      <c r="D544" s="98">
        <v>1194</v>
      </c>
      <c r="E544" s="98">
        <v>2016</v>
      </c>
      <c r="F544" s="99">
        <v>1452</v>
      </c>
    </row>
    <row r="545" spans="2:6" x14ac:dyDescent="0.3">
      <c r="B545" s="97" t="s">
        <v>328</v>
      </c>
      <c r="C545" s="97" t="s">
        <v>338</v>
      </c>
      <c r="D545" s="98">
        <v>607</v>
      </c>
      <c r="E545" s="98">
        <v>853</v>
      </c>
      <c r="F545" s="99">
        <v>1022</v>
      </c>
    </row>
    <row r="546" spans="2:6" x14ac:dyDescent="0.3">
      <c r="B546" s="97" t="s">
        <v>328</v>
      </c>
      <c r="C546" s="97" t="s">
        <v>339</v>
      </c>
      <c r="D546" s="98">
        <v>626</v>
      </c>
      <c r="E546" s="98">
        <v>1569</v>
      </c>
      <c r="F546" s="99">
        <v>1033</v>
      </c>
    </row>
    <row r="547" spans="2:6" x14ac:dyDescent="0.3">
      <c r="B547" s="97" t="s">
        <v>328</v>
      </c>
      <c r="C547" s="97" t="s">
        <v>340</v>
      </c>
      <c r="D547" s="98">
        <v>1037</v>
      </c>
      <c r="E547" s="98">
        <v>2300</v>
      </c>
      <c r="F547" s="99">
        <v>1598</v>
      </c>
    </row>
    <row r="548" spans="2:6" x14ac:dyDescent="0.3">
      <c r="B548" s="97" t="s">
        <v>328</v>
      </c>
      <c r="C548" s="97" t="s">
        <v>341</v>
      </c>
      <c r="D548" s="98">
        <v>972</v>
      </c>
      <c r="E548" s="98">
        <v>2128</v>
      </c>
      <c r="F548" s="99">
        <v>912</v>
      </c>
    </row>
    <row r="549" spans="2:6" x14ac:dyDescent="0.3">
      <c r="B549" s="97" t="s">
        <v>328</v>
      </c>
      <c r="C549" s="97" t="s">
        <v>342</v>
      </c>
      <c r="D549" s="98">
        <v>88</v>
      </c>
      <c r="E549" s="98">
        <v>1159</v>
      </c>
      <c r="F549" s="99">
        <v>0</v>
      </c>
    </row>
    <row r="550" spans="2:6" x14ac:dyDescent="0.3">
      <c r="B550" s="97" t="s">
        <v>328</v>
      </c>
      <c r="C550" s="97" t="s">
        <v>343</v>
      </c>
      <c r="D550" s="98">
        <v>2052</v>
      </c>
      <c r="E550" s="98">
        <v>2159</v>
      </c>
      <c r="F550" s="99">
        <v>1582</v>
      </c>
    </row>
    <row r="551" spans="2:6" x14ac:dyDescent="0.3">
      <c r="B551" s="97" t="s">
        <v>328</v>
      </c>
      <c r="C551" s="97" t="s">
        <v>344</v>
      </c>
      <c r="D551" s="98">
        <v>1582</v>
      </c>
      <c r="E551" s="98">
        <v>2308</v>
      </c>
      <c r="F551" s="99">
        <v>1699</v>
      </c>
    </row>
    <row r="552" spans="2:6" x14ac:dyDescent="0.3">
      <c r="B552" s="97" t="s">
        <v>328</v>
      </c>
      <c r="C552" s="97" t="s">
        <v>345</v>
      </c>
      <c r="D552" s="98">
        <v>1088</v>
      </c>
      <c r="E552" s="98">
        <v>1218</v>
      </c>
      <c r="F552" s="99">
        <v>981</v>
      </c>
    </row>
    <row r="553" spans="2:6" x14ac:dyDescent="0.3">
      <c r="B553" s="97" t="s">
        <v>328</v>
      </c>
      <c r="C553" s="97" t="s">
        <v>346</v>
      </c>
      <c r="D553" s="98">
        <v>706</v>
      </c>
      <c r="E553" s="98">
        <v>1151</v>
      </c>
      <c r="F553" s="99">
        <v>1145</v>
      </c>
    </row>
    <row r="554" spans="2:6" x14ac:dyDescent="0.3">
      <c r="B554" s="97" t="s">
        <v>328</v>
      </c>
      <c r="C554" s="97" t="s">
        <v>347</v>
      </c>
      <c r="D554" s="98">
        <v>1335</v>
      </c>
      <c r="E554" s="98">
        <v>2098</v>
      </c>
      <c r="F554" s="99">
        <v>1322</v>
      </c>
    </row>
    <row r="555" spans="2:6" x14ac:dyDescent="0.3">
      <c r="B555" s="97" t="s">
        <v>328</v>
      </c>
      <c r="C555" s="97" t="s">
        <v>348</v>
      </c>
      <c r="D555" s="98">
        <v>702</v>
      </c>
      <c r="E555" s="98">
        <v>1162</v>
      </c>
      <c r="F555" s="99">
        <v>877</v>
      </c>
    </row>
    <row r="556" spans="2:6" x14ac:dyDescent="0.3">
      <c r="B556" s="97" t="s">
        <v>328</v>
      </c>
      <c r="C556" s="97" t="s">
        <v>349</v>
      </c>
      <c r="D556" s="98">
        <v>968</v>
      </c>
      <c r="E556" s="98">
        <v>1101</v>
      </c>
      <c r="F556" s="99">
        <v>797</v>
      </c>
    </row>
    <row r="557" spans="2:6" x14ac:dyDescent="0.3">
      <c r="B557" s="97" t="s">
        <v>328</v>
      </c>
      <c r="C557" s="97" t="s">
        <v>350</v>
      </c>
      <c r="D557" s="98">
        <v>1664</v>
      </c>
      <c r="E557" s="98">
        <v>2069</v>
      </c>
      <c r="F557" s="99">
        <v>1710</v>
      </c>
    </row>
    <row r="558" spans="2:6" x14ac:dyDescent="0.3">
      <c r="B558" s="97" t="s">
        <v>328</v>
      </c>
      <c r="C558" s="97" t="s">
        <v>351</v>
      </c>
      <c r="D558" s="98">
        <v>624</v>
      </c>
      <c r="E558" s="98">
        <v>770</v>
      </c>
      <c r="F558" s="99">
        <v>746</v>
      </c>
    </row>
    <row r="559" spans="2:6" x14ac:dyDescent="0.3">
      <c r="B559" s="97" t="s">
        <v>328</v>
      </c>
      <c r="C559" s="97" t="s">
        <v>352</v>
      </c>
      <c r="D559" s="98">
        <v>685</v>
      </c>
      <c r="E559" s="98">
        <v>1501</v>
      </c>
      <c r="F559" s="99">
        <v>1126</v>
      </c>
    </row>
    <row r="560" spans="2:6" x14ac:dyDescent="0.3">
      <c r="B560" s="97" t="s">
        <v>328</v>
      </c>
      <c r="C560" s="97" t="s">
        <v>353</v>
      </c>
      <c r="D560" s="98">
        <v>1248</v>
      </c>
      <c r="E560" s="98">
        <v>1763</v>
      </c>
      <c r="F560" s="99">
        <v>1146</v>
      </c>
    </row>
    <row r="561" spans="2:6" x14ac:dyDescent="0.3">
      <c r="B561" s="97" t="s">
        <v>328</v>
      </c>
      <c r="C561" s="97" t="s">
        <v>354</v>
      </c>
      <c r="D561" s="98">
        <v>1342</v>
      </c>
      <c r="E561" s="98">
        <v>1559</v>
      </c>
      <c r="F561" s="99">
        <v>1307</v>
      </c>
    </row>
    <row r="562" spans="2:6" x14ac:dyDescent="0.3">
      <c r="B562" s="97" t="s">
        <v>328</v>
      </c>
      <c r="C562" s="97" t="s">
        <v>355</v>
      </c>
      <c r="D562" s="98">
        <v>760</v>
      </c>
      <c r="E562" s="98">
        <v>965</v>
      </c>
      <c r="F562" s="99">
        <v>921</v>
      </c>
    </row>
    <row r="563" spans="2:6" x14ac:dyDescent="0.3">
      <c r="B563" s="97" t="s">
        <v>328</v>
      </c>
      <c r="C563" s="97" t="s">
        <v>356</v>
      </c>
      <c r="D563" s="98">
        <v>1187</v>
      </c>
      <c r="E563" s="98">
        <v>1568</v>
      </c>
      <c r="F563" s="99">
        <v>1190</v>
      </c>
    </row>
    <row r="564" spans="2:6" x14ac:dyDescent="0.3">
      <c r="B564" s="97" t="s">
        <v>328</v>
      </c>
      <c r="C564" s="97" t="s">
        <v>357</v>
      </c>
      <c r="D564" s="98">
        <v>0</v>
      </c>
      <c r="E564" s="98">
        <v>0</v>
      </c>
      <c r="F564" s="99">
        <v>277</v>
      </c>
    </row>
    <row r="565" spans="2:6" x14ac:dyDescent="0.3">
      <c r="B565" s="97" t="s">
        <v>328</v>
      </c>
      <c r="C565" s="97" t="s">
        <v>358</v>
      </c>
      <c r="D565" s="98">
        <v>368</v>
      </c>
      <c r="E565" s="98">
        <v>1386</v>
      </c>
      <c r="F565" s="99">
        <v>637</v>
      </c>
    </row>
    <row r="566" spans="2:6" x14ac:dyDescent="0.3">
      <c r="B566" s="97" t="s">
        <v>328</v>
      </c>
      <c r="C566" s="97" t="s">
        <v>359</v>
      </c>
      <c r="D566" s="98">
        <v>317</v>
      </c>
      <c r="E566" s="98">
        <v>1215</v>
      </c>
      <c r="F566" s="99">
        <v>478</v>
      </c>
    </row>
    <row r="567" spans="2:6" x14ac:dyDescent="0.3">
      <c r="B567" s="97" t="s">
        <v>328</v>
      </c>
      <c r="C567" s="97" t="s">
        <v>360</v>
      </c>
      <c r="D567" s="98">
        <v>689</v>
      </c>
      <c r="E567" s="98">
        <v>2544</v>
      </c>
      <c r="F567" s="99">
        <v>1009</v>
      </c>
    </row>
    <row r="568" spans="2:6" x14ac:dyDescent="0.3">
      <c r="B568" s="97" t="s">
        <v>328</v>
      </c>
      <c r="C568" s="97" t="s">
        <v>361</v>
      </c>
      <c r="D568" s="98">
        <v>510</v>
      </c>
      <c r="E568" s="98">
        <v>2583</v>
      </c>
      <c r="F568" s="99">
        <v>861</v>
      </c>
    </row>
    <row r="569" spans="2:6" x14ac:dyDescent="0.3">
      <c r="B569" s="97" t="s">
        <v>328</v>
      </c>
      <c r="C569" s="97" t="s">
        <v>362</v>
      </c>
      <c r="D569" s="98">
        <v>257</v>
      </c>
      <c r="E569" s="98">
        <v>1023</v>
      </c>
      <c r="F569" s="99">
        <v>446</v>
      </c>
    </row>
    <row r="570" spans="2:6" x14ac:dyDescent="0.3">
      <c r="B570" s="97" t="s">
        <v>328</v>
      </c>
      <c r="C570" s="97" t="s">
        <v>363</v>
      </c>
      <c r="D570" s="98">
        <v>335</v>
      </c>
      <c r="E570" s="98">
        <v>1225</v>
      </c>
      <c r="F570" s="99">
        <v>520</v>
      </c>
    </row>
    <row r="571" spans="2:6" x14ac:dyDescent="0.3">
      <c r="B571" s="97" t="s">
        <v>328</v>
      </c>
      <c r="C571" s="97" t="s">
        <v>364</v>
      </c>
      <c r="D571" s="98">
        <v>264</v>
      </c>
      <c r="E571" s="98">
        <v>957</v>
      </c>
      <c r="F571" s="99">
        <v>405</v>
      </c>
    </row>
    <row r="572" spans="2:6" x14ac:dyDescent="0.3">
      <c r="B572" s="97" t="s">
        <v>328</v>
      </c>
      <c r="C572" s="97" t="s">
        <v>365</v>
      </c>
      <c r="D572" s="98">
        <v>285</v>
      </c>
      <c r="E572" s="98">
        <v>869</v>
      </c>
      <c r="F572" s="99">
        <v>434</v>
      </c>
    </row>
    <row r="573" spans="2:6" x14ac:dyDescent="0.3">
      <c r="B573" s="97" t="s">
        <v>328</v>
      </c>
      <c r="C573" s="97" t="s">
        <v>366</v>
      </c>
      <c r="D573" s="98">
        <v>550</v>
      </c>
      <c r="E573" s="98">
        <v>2502</v>
      </c>
      <c r="F573" s="99">
        <v>822</v>
      </c>
    </row>
    <row r="574" spans="2:6" x14ac:dyDescent="0.3">
      <c r="B574" s="97" t="s">
        <v>328</v>
      </c>
      <c r="C574" s="97" t="s">
        <v>367</v>
      </c>
      <c r="D574" s="98">
        <v>266</v>
      </c>
      <c r="E574" s="98">
        <v>1382</v>
      </c>
      <c r="F574" s="99">
        <v>501</v>
      </c>
    </row>
    <row r="575" spans="2:6" x14ac:dyDescent="0.3">
      <c r="B575" s="97" t="s">
        <v>328</v>
      </c>
      <c r="C575" s="97" t="s">
        <v>368</v>
      </c>
      <c r="D575" s="98">
        <v>598</v>
      </c>
      <c r="E575" s="98">
        <v>2107</v>
      </c>
      <c r="F575" s="99">
        <v>1002</v>
      </c>
    </row>
    <row r="576" spans="2:6" x14ac:dyDescent="0.3">
      <c r="B576" s="97" t="s">
        <v>328</v>
      </c>
      <c r="C576" s="97" t="s">
        <v>369</v>
      </c>
      <c r="D576" s="98">
        <v>344</v>
      </c>
      <c r="E576" s="98">
        <v>1641</v>
      </c>
      <c r="F576" s="99">
        <v>765</v>
      </c>
    </row>
    <row r="577" spans="2:6" x14ac:dyDescent="0.3">
      <c r="B577" s="97" t="s">
        <v>328</v>
      </c>
      <c r="C577" s="97" t="s">
        <v>370</v>
      </c>
      <c r="D577" s="98">
        <v>183</v>
      </c>
      <c r="E577" s="98">
        <v>867</v>
      </c>
      <c r="F577" s="99">
        <v>384</v>
      </c>
    </row>
    <row r="578" spans="2:6" x14ac:dyDescent="0.3">
      <c r="B578" s="97" t="s">
        <v>328</v>
      </c>
      <c r="C578" s="97" t="s">
        <v>371</v>
      </c>
      <c r="D578" s="98">
        <v>302</v>
      </c>
      <c r="E578" s="98">
        <v>1326</v>
      </c>
      <c r="F578" s="99">
        <v>586</v>
      </c>
    </row>
    <row r="579" spans="2:6" x14ac:dyDescent="0.3">
      <c r="B579" s="97" t="s">
        <v>328</v>
      </c>
      <c r="C579" s="97" t="s">
        <v>372</v>
      </c>
      <c r="D579" s="98">
        <v>177</v>
      </c>
      <c r="E579" s="98">
        <v>823</v>
      </c>
      <c r="F579" s="99">
        <v>548</v>
      </c>
    </row>
    <row r="580" spans="2:6" x14ac:dyDescent="0.3">
      <c r="B580" s="97" t="s">
        <v>328</v>
      </c>
      <c r="C580" s="97" t="s">
        <v>373</v>
      </c>
      <c r="D580" s="98">
        <v>285</v>
      </c>
      <c r="E580" s="98">
        <v>1249</v>
      </c>
      <c r="F580" s="99">
        <v>533</v>
      </c>
    </row>
    <row r="581" spans="2:6" x14ac:dyDescent="0.3">
      <c r="B581" s="97" t="s">
        <v>328</v>
      </c>
      <c r="C581" s="97" t="s">
        <v>374</v>
      </c>
      <c r="D581" s="98">
        <v>236</v>
      </c>
      <c r="E581" s="98">
        <v>1162</v>
      </c>
      <c r="F581" s="99">
        <v>402</v>
      </c>
    </row>
    <row r="582" spans="2:6" x14ac:dyDescent="0.3">
      <c r="B582" s="97" t="s">
        <v>328</v>
      </c>
      <c r="C582" s="97" t="s">
        <v>375</v>
      </c>
      <c r="D582" s="98">
        <v>293</v>
      </c>
      <c r="E582" s="98">
        <v>1016</v>
      </c>
      <c r="F582" s="99">
        <v>585</v>
      </c>
    </row>
    <row r="583" spans="2:6" x14ac:dyDescent="0.3">
      <c r="B583" s="97" t="s">
        <v>328</v>
      </c>
      <c r="C583" s="97" t="s">
        <v>376</v>
      </c>
      <c r="D583" s="98">
        <v>242</v>
      </c>
      <c r="E583" s="98">
        <v>1363</v>
      </c>
      <c r="F583" s="99">
        <v>428</v>
      </c>
    </row>
    <row r="584" spans="2:6" x14ac:dyDescent="0.3">
      <c r="B584" s="97" t="s">
        <v>328</v>
      </c>
      <c r="C584" s="97" t="s">
        <v>377</v>
      </c>
      <c r="D584" s="98">
        <v>248</v>
      </c>
      <c r="E584" s="98">
        <v>1398</v>
      </c>
      <c r="F584" s="99">
        <v>476</v>
      </c>
    </row>
    <row r="585" spans="2:6" x14ac:dyDescent="0.3">
      <c r="B585" s="97" t="s">
        <v>328</v>
      </c>
      <c r="C585" s="97" t="s">
        <v>378</v>
      </c>
      <c r="D585" s="98">
        <v>292</v>
      </c>
      <c r="E585" s="98">
        <v>1380</v>
      </c>
      <c r="F585" s="99">
        <v>456</v>
      </c>
    </row>
    <row r="586" spans="2:6" x14ac:dyDescent="0.3">
      <c r="B586" s="97" t="s">
        <v>328</v>
      </c>
      <c r="C586" s="97" t="s">
        <v>379</v>
      </c>
      <c r="D586" s="98">
        <v>196</v>
      </c>
      <c r="E586" s="98">
        <v>1238</v>
      </c>
      <c r="F586" s="99">
        <v>493</v>
      </c>
    </row>
    <row r="587" spans="2:6" x14ac:dyDescent="0.3">
      <c r="B587" s="97" t="s">
        <v>328</v>
      </c>
      <c r="C587" s="97" t="s">
        <v>380</v>
      </c>
      <c r="D587" s="98">
        <v>432</v>
      </c>
      <c r="E587" s="98">
        <v>1216</v>
      </c>
      <c r="F587" s="99">
        <v>552</v>
      </c>
    </row>
    <row r="588" spans="2:6" x14ac:dyDescent="0.3">
      <c r="B588" s="97" t="s">
        <v>328</v>
      </c>
      <c r="C588" s="97" t="s">
        <v>381</v>
      </c>
      <c r="D588" s="98">
        <v>420</v>
      </c>
      <c r="E588" s="98">
        <v>1581</v>
      </c>
      <c r="F588" s="99">
        <v>525</v>
      </c>
    </row>
    <row r="589" spans="2:6" x14ac:dyDescent="0.3">
      <c r="B589" s="97" t="s">
        <v>328</v>
      </c>
      <c r="C589" s="97" t="s">
        <v>382</v>
      </c>
      <c r="D589" s="98">
        <v>398</v>
      </c>
      <c r="E589" s="98">
        <v>1759</v>
      </c>
      <c r="F589" s="99">
        <v>682</v>
      </c>
    </row>
    <row r="590" spans="2:6" x14ac:dyDescent="0.3">
      <c r="B590" s="97" t="s">
        <v>328</v>
      </c>
      <c r="C590" s="97" t="s">
        <v>383</v>
      </c>
      <c r="D590" s="98">
        <v>128</v>
      </c>
      <c r="E590" s="98">
        <v>791</v>
      </c>
      <c r="F590" s="99">
        <v>242</v>
      </c>
    </row>
    <row r="591" spans="2:6" x14ac:dyDescent="0.3">
      <c r="B591" s="97" t="s">
        <v>328</v>
      </c>
      <c r="C591" s="97" t="s">
        <v>384</v>
      </c>
      <c r="D591" s="98">
        <v>225</v>
      </c>
      <c r="E591" s="98">
        <v>935</v>
      </c>
      <c r="F591" s="99">
        <v>432</v>
      </c>
    </row>
    <row r="592" spans="2:6" x14ac:dyDescent="0.3">
      <c r="B592" s="97" t="s">
        <v>328</v>
      </c>
      <c r="C592" s="97" t="s">
        <v>385</v>
      </c>
      <c r="D592" s="98">
        <v>1358</v>
      </c>
      <c r="E592" s="98">
        <v>2231</v>
      </c>
      <c r="F592" s="99">
        <v>1391</v>
      </c>
    </row>
    <row r="593" spans="2:6" x14ac:dyDescent="0.3">
      <c r="B593" s="97" t="s">
        <v>328</v>
      </c>
      <c r="C593" s="97" t="s">
        <v>386</v>
      </c>
      <c r="D593" s="98">
        <v>1345</v>
      </c>
      <c r="E593" s="98">
        <v>1791</v>
      </c>
      <c r="F593" s="99">
        <v>1460</v>
      </c>
    </row>
    <row r="594" spans="2:6" x14ac:dyDescent="0.3">
      <c r="B594" s="97" t="s">
        <v>328</v>
      </c>
      <c r="C594" s="97" t="s">
        <v>387</v>
      </c>
      <c r="D594" s="98">
        <v>769</v>
      </c>
      <c r="E594" s="98">
        <v>1948</v>
      </c>
      <c r="F594" s="99">
        <v>1011</v>
      </c>
    </row>
    <row r="595" spans="2:6" x14ac:dyDescent="0.3">
      <c r="B595" s="97" t="s">
        <v>328</v>
      </c>
      <c r="C595" s="97" t="s">
        <v>388</v>
      </c>
      <c r="D595" s="98">
        <v>560</v>
      </c>
      <c r="E595" s="98">
        <v>1835</v>
      </c>
      <c r="F595" s="99">
        <v>642</v>
      </c>
    </row>
    <row r="596" spans="2:6" x14ac:dyDescent="0.3">
      <c r="B596" s="97" t="s">
        <v>328</v>
      </c>
      <c r="C596" s="97" t="s">
        <v>389</v>
      </c>
      <c r="D596" s="98">
        <v>836</v>
      </c>
      <c r="E596" s="98">
        <v>2245</v>
      </c>
      <c r="F596" s="99">
        <v>861</v>
      </c>
    </row>
    <row r="597" spans="2:6" x14ac:dyDescent="0.3">
      <c r="B597" s="97" t="s">
        <v>328</v>
      </c>
      <c r="C597" s="97" t="s">
        <v>390</v>
      </c>
      <c r="D597" s="98">
        <v>587</v>
      </c>
      <c r="E597" s="98">
        <v>1471</v>
      </c>
      <c r="F597" s="99">
        <v>623</v>
      </c>
    </row>
    <row r="598" spans="2:6" x14ac:dyDescent="0.3">
      <c r="B598" s="97" t="s">
        <v>328</v>
      </c>
      <c r="C598" s="97" t="s">
        <v>391</v>
      </c>
      <c r="D598" s="98">
        <v>774</v>
      </c>
      <c r="E598" s="98">
        <v>1403</v>
      </c>
      <c r="F598" s="99">
        <v>1085</v>
      </c>
    </row>
    <row r="599" spans="2:6" x14ac:dyDescent="0.3">
      <c r="B599" s="97" t="s">
        <v>328</v>
      </c>
      <c r="C599" s="97" t="s">
        <v>392</v>
      </c>
      <c r="D599" s="98">
        <v>757</v>
      </c>
      <c r="E599" s="98">
        <v>1203</v>
      </c>
      <c r="F599" s="99">
        <v>1175</v>
      </c>
    </row>
    <row r="600" spans="2:6" x14ac:dyDescent="0.3">
      <c r="B600" s="97" t="s">
        <v>328</v>
      </c>
      <c r="C600" s="97" t="s">
        <v>393</v>
      </c>
      <c r="D600" s="98">
        <v>591</v>
      </c>
      <c r="E600" s="98">
        <v>1439</v>
      </c>
      <c r="F600" s="99">
        <v>858</v>
      </c>
    </row>
    <row r="601" spans="2:6" x14ac:dyDescent="0.3">
      <c r="B601" s="97" t="s">
        <v>328</v>
      </c>
      <c r="C601" s="97" t="s">
        <v>394</v>
      </c>
      <c r="D601" s="98">
        <v>457</v>
      </c>
      <c r="E601" s="98">
        <v>1161</v>
      </c>
      <c r="F601" s="99">
        <v>594</v>
      </c>
    </row>
    <row r="602" spans="2:6" x14ac:dyDescent="0.3">
      <c r="B602" s="97" t="s">
        <v>328</v>
      </c>
      <c r="C602" s="97" t="s">
        <v>395</v>
      </c>
      <c r="D602" s="98">
        <v>494</v>
      </c>
      <c r="E602" s="98">
        <v>1585</v>
      </c>
      <c r="F602" s="99">
        <v>705</v>
      </c>
    </row>
    <row r="603" spans="2:6" x14ac:dyDescent="0.3">
      <c r="B603" s="97" t="s">
        <v>328</v>
      </c>
      <c r="C603" s="97" t="s">
        <v>396</v>
      </c>
      <c r="D603" s="98">
        <v>914</v>
      </c>
      <c r="E603" s="98">
        <v>1727</v>
      </c>
      <c r="F603" s="99">
        <v>1308</v>
      </c>
    </row>
    <row r="604" spans="2:6" x14ac:dyDescent="0.3">
      <c r="B604" s="97" t="s">
        <v>328</v>
      </c>
      <c r="C604" s="97" t="s">
        <v>397</v>
      </c>
      <c r="D604" s="98">
        <v>581</v>
      </c>
      <c r="E604" s="98">
        <v>1448</v>
      </c>
      <c r="F604" s="99">
        <v>885</v>
      </c>
    </row>
    <row r="605" spans="2:6" x14ac:dyDescent="0.3">
      <c r="B605" s="97" t="s">
        <v>328</v>
      </c>
      <c r="C605" s="97" t="s">
        <v>398</v>
      </c>
      <c r="D605" s="98">
        <v>31</v>
      </c>
      <c r="E605" s="98">
        <v>0</v>
      </c>
      <c r="F605" s="99">
        <v>78</v>
      </c>
    </row>
    <row r="606" spans="2:6" x14ac:dyDescent="0.3">
      <c r="B606" s="97" t="s">
        <v>328</v>
      </c>
      <c r="C606" s="97" t="s">
        <v>399</v>
      </c>
      <c r="D606" s="98">
        <v>92</v>
      </c>
      <c r="E606" s="98">
        <v>233</v>
      </c>
      <c r="F606" s="99">
        <v>494</v>
      </c>
    </row>
    <row r="607" spans="2:6" x14ac:dyDescent="0.3">
      <c r="B607" s="97" t="s">
        <v>328</v>
      </c>
      <c r="C607" s="97" t="s">
        <v>400</v>
      </c>
      <c r="D607" s="98">
        <v>486</v>
      </c>
      <c r="E607" s="98">
        <v>1176</v>
      </c>
      <c r="F607" s="99">
        <v>400</v>
      </c>
    </row>
    <row r="608" spans="2:6" x14ac:dyDescent="0.3">
      <c r="B608" s="97" t="s">
        <v>328</v>
      </c>
      <c r="C608" s="97" t="s">
        <v>401</v>
      </c>
      <c r="D608" s="98">
        <v>440</v>
      </c>
      <c r="E608" s="98">
        <v>874</v>
      </c>
      <c r="F608" s="99">
        <v>803</v>
      </c>
    </row>
    <row r="609" spans="2:6" x14ac:dyDescent="0.3">
      <c r="B609" s="97" t="s">
        <v>328</v>
      </c>
      <c r="C609" s="97" t="s">
        <v>402</v>
      </c>
      <c r="D609" s="98">
        <v>127</v>
      </c>
      <c r="E609" s="98">
        <v>695</v>
      </c>
      <c r="F609" s="99">
        <v>440</v>
      </c>
    </row>
    <row r="610" spans="2:6" x14ac:dyDescent="0.3">
      <c r="B610" s="97" t="s">
        <v>328</v>
      </c>
      <c r="C610" s="97" t="s">
        <v>403</v>
      </c>
      <c r="D610" s="98">
        <v>257</v>
      </c>
      <c r="E610" s="98">
        <v>1367</v>
      </c>
      <c r="F610" s="99">
        <v>544</v>
      </c>
    </row>
    <row r="611" spans="2:6" x14ac:dyDescent="0.3">
      <c r="B611" s="97" t="s">
        <v>328</v>
      </c>
      <c r="C611" s="97" t="s">
        <v>404</v>
      </c>
      <c r="D611" s="98">
        <v>399</v>
      </c>
      <c r="E611" s="98">
        <v>1238</v>
      </c>
      <c r="F611" s="99">
        <v>622</v>
      </c>
    </row>
    <row r="612" spans="2:6" x14ac:dyDescent="0.3">
      <c r="B612" s="97" t="s">
        <v>328</v>
      </c>
      <c r="C612" s="97" t="s">
        <v>405</v>
      </c>
      <c r="D612" s="98">
        <v>470</v>
      </c>
      <c r="E612" s="98">
        <v>1609</v>
      </c>
      <c r="F612" s="99">
        <v>662</v>
      </c>
    </row>
    <row r="613" spans="2:6" x14ac:dyDescent="0.3">
      <c r="B613" s="97" t="s">
        <v>328</v>
      </c>
      <c r="C613" s="97" t="s">
        <v>406</v>
      </c>
      <c r="D613" s="98">
        <v>651</v>
      </c>
      <c r="E613" s="98">
        <v>2120</v>
      </c>
      <c r="F613" s="99">
        <v>824</v>
      </c>
    </row>
    <row r="614" spans="2:6" x14ac:dyDescent="0.3">
      <c r="B614" s="97" t="s">
        <v>328</v>
      </c>
      <c r="C614" s="97" t="s">
        <v>407</v>
      </c>
      <c r="D614" s="98">
        <v>757</v>
      </c>
      <c r="E614" s="98">
        <v>2498</v>
      </c>
      <c r="F614" s="99">
        <v>846</v>
      </c>
    </row>
    <row r="615" spans="2:6" x14ac:dyDescent="0.3">
      <c r="B615" s="97" t="s">
        <v>328</v>
      </c>
      <c r="C615" s="97" t="s">
        <v>408</v>
      </c>
      <c r="D615" s="98">
        <v>526</v>
      </c>
      <c r="E615" s="98">
        <v>1902</v>
      </c>
      <c r="F615" s="99">
        <v>743</v>
      </c>
    </row>
    <row r="616" spans="2:6" x14ac:dyDescent="0.3">
      <c r="B616" s="97" t="s">
        <v>328</v>
      </c>
      <c r="C616" s="97" t="s">
        <v>409</v>
      </c>
      <c r="D616" s="98">
        <v>196</v>
      </c>
      <c r="E616" s="98">
        <v>994</v>
      </c>
      <c r="F616" s="99">
        <v>477</v>
      </c>
    </row>
    <row r="617" spans="2:6" x14ac:dyDescent="0.3">
      <c r="B617" s="97" t="s">
        <v>328</v>
      </c>
      <c r="C617" s="97" t="s">
        <v>410</v>
      </c>
      <c r="D617" s="98">
        <v>260</v>
      </c>
      <c r="E617" s="98">
        <v>1010</v>
      </c>
      <c r="F617" s="99">
        <v>575</v>
      </c>
    </row>
    <row r="618" spans="2:6" x14ac:dyDescent="0.3">
      <c r="B618" s="97" t="s">
        <v>328</v>
      </c>
      <c r="C618" s="97" t="s">
        <v>411</v>
      </c>
      <c r="D618" s="98">
        <v>192</v>
      </c>
      <c r="E618" s="98">
        <v>899</v>
      </c>
      <c r="F618" s="99">
        <v>369</v>
      </c>
    </row>
    <row r="619" spans="2:6" x14ac:dyDescent="0.3">
      <c r="B619" s="97" t="s">
        <v>328</v>
      </c>
      <c r="C619" s="97" t="s">
        <v>412</v>
      </c>
      <c r="D619" s="98">
        <v>177</v>
      </c>
      <c r="E619" s="98">
        <v>284</v>
      </c>
      <c r="F619" s="99">
        <v>174</v>
      </c>
    </row>
    <row r="620" spans="2:6" x14ac:dyDescent="0.3">
      <c r="B620" s="97" t="s">
        <v>328</v>
      </c>
      <c r="C620" s="97" t="s">
        <v>413</v>
      </c>
      <c r="D620" s="98">
        <v>741</v>
      </c>
      <c r="E620" s="98">
        <v>1781</v>
      </c>
      <c r="F620" s="99">
        <v>1028</v>
      </c>
    </row>
    <row r="621" spans="2:6" x14ac:dyDescent="0.3">
      <c r="B621" s="97" t="s">
        <v>328</v>
      </c>
      <c r="C621" s="97" t="s">
        <v>414</v>
      </c>
      <c r="D621" s="98">
        <v>174</v>
      </c>
      <c r="E621" s="98">
        <v>773</v>
      </c>
      <c r="F621" s="99">
        <v>237</v>
      </c>
    </row>
    <row r="622" spans="2:6" x14ac:dyDescent="0.3">
      <c r="B622" s="97" t="s">
        <v>328</v>
      </c>
      <c r="C622" s="97" t="s">
        <v>415</v>
      </c>
      <c r="D622" s="98">
        <v>94</v>
      </c>
      <c r="E622" s="98">
        <v>769</v>
      </c>
      <c r="F622" s="99">
        <v>228</v>
      </c>
    </row>
    <row r="623" spans="2:6" x14ac:dyDescent="0.3">
      <c r="B623" s="97" t="s">
        <v>328</v>
      </c>
      <c r="C623" s="97" t="s">
        <v>416</v>
      </c>
      <c r="D623" s="98">
        <v>197</v>
      </c>
      <c r="E623" s="98">
        <v>837</v>
      </c>
      <c r="F623" s="99">
        <v>434</v>
      </c>
    </row>
    <row r="624" spans="2:6" x14ac:dyDescent="0.3">
      <c r="B624" s="97" t="s">
        <v>328</v>
      </c>
      <c r="C624" s="97" t="s">
        <v>417</v>
      </c>
      <c r="D624" s="98">
        <v>318</v>
      </c>
      <c r="E624" s="98">
        <v>1120</v>
      </c>
      <c r="F624" s="99">
        <v>444</v>
      </c>
    </row>
    <row r="625" spans="2:6" x14ac:dyDescent="0.3">
      <c r="B625" s="97" t="s">
        <v>328</v>
      </c>
      <c r="C625" s="97" t="s">
        <v>418</v>
      </c>
      <c r="D625" s="98">
        <v>82</v>
      </c>
      <c r="E625" s="98">
        <v>723</v>
      </c>
      <c r="F625" s="99">
        <v>204</v>
      </c>
    </row>
    <row r="626" spans="2:6" x14ac:dyDescent="0.3">
      <c r="B626" s="97" t="s">
        <v>328</v>
      </c>
      <c r="C626" s="97" t="s">
        <v>419</v>
      </c>
      <c r="D626" s="98">
        <v>206</v>
      </c>
      <c r="E626" s="98">
        <v>550</v>
      </c>
      <c r="F626" s="99">
        <v>229</v>
      </c>
    </row>
    <row r="627" spans="2:6" x14ac:dyDescent="0.3">
      <c r="B627" s="97" t="s">
        <v>328</v>
      </c>
      <c r="C627" s="97" t="s">
        <v>420</v>
      </c>
      <c r="D627" s="98">
        <v>390</v>
      </c>
      <c r="E627" s="98">
        <v>1297</v>
      </c>
      <c r="F627" s="99">
        <v>456</v>
      </c>
    </row>
    <row r="628" spans="2:6" x14ac:dyDescent="0.3">
      <c r="B628" s="97" t="s">
        <v>328</v>
      </c>
      <c r="C628" s="97" t="s">
        <v>421</v>
      </c>
      <c r="D628" s="98">
        <v>111</v>
      </c>
      <c r="E628" s="98">
        <v>1160</v>
      </c>
      <c r="F628" s="99">
        <v>282</v>
      </c>
    </row>
    <row r="629" spans="2:6" x14ac:dyDescent="0.3">
      <c r="B629" s="97" t="s">
        <v>328</v>
      </c>
      <c r="C629" s="97" t="s">
        <v>422</v>
      </c>
      <c r="D629" s="98">
        <v>522</v>
      </c>
      <c r="E629" s="98">
        <v>1667</v>
      </c>
      <c r="F629" s="99">
        <v>556</v>
      </c>
    </row>
    <row r="630" spans="2:6" x14ac:dyDescent="0.3">
      <c r="B630" s="97" t="s">
        <v>328</v>
      </c>
      <c r="C630" s="97" t="s">
        <v>423</v>
      </c>
      <c r="D630" s="98">
        <v>278</v>
      </c>
      <c r="E630" s="98">
        <v>1091</v>
      </c>
      <c r="F630" s="99">
        <v>505</v>
      </c>
    </row>
    <row r="631" spans="2:6" x14ac:dyDescent="0.3">
      <c r="B631" s="97" t="s">
        <v>328</v>
      </c>
      <c r="C631" s="97" t="s">
        <v>424</v>
      </c>
      <c r="D631" s="98">
        <v>0</v>
      </c>
      <c r="E631" s="98">
        <v>0</v>
      </c>
      <c r="F631" s="99">
        <v>0</v>
      </c>
    </row>
    <row r="632" spans="2:6" x14ac:dyDescent="0.3">
      <c r="B632" s="97" t="s">
        <v>328</v>
      </c>
      <c r="C632" s="97" t="s">
        <v>425</v>
      </c>
      <c r="D632" s="98">
        <v>120</v>
      </c>
      <c r="E632" s="98">
        <v>1335</v>
      </c>
      <c r="F632" s="99">
        <v>289</v>
      </c>
    </row>
    <row r="633" spans="2:6" x14ac:dyDescent="0.3">
      <c r="B633" s="97" t="s">
        <v>328</v>
      </c>
      <c r="C633" s="97" t="s">
        <v>426</v>
      </c>
      <c r="D633" s="98">
        <v>316</v>
      </c>
      <c r="E633" s="98">
        <v>1028</v>
      </c>
      <c r="F633" s="99">
        <v>505</v>
      </c>
    </row>
    <row r="634" spans="2:6" x14ac:dyDescent="0.3">
      <c r="B634" s="97" t="s">
        <v>328</v>
      </c>
      <c r="C634" s="97" t="s">
        <v>427</v>
      </c>
      <c r="D634" s="98">
        <v>446</v>
      </c>
      <c r="E634" s="98">
        <v>1763</v>
      </c>
      <c r="F634" s="99">
        <v>527</v>
      </c>
    </row>
    <row r="635" spans="2:6" x14ac:dyDescent="0.3">
      <c r="B635" s="97" t="s">
        <v>328</v>
      </c>
      <c r="C635" s="97" t="s">
        <v>428</v>
      </c>
      <c r="D635" s="98">
        <v>0</v>
      </c>
      <c r="E635" s="98">
        <v>0</v>
      </c>
      <c r="F635" s="99">
        <v>0</v>
      </c>
    </row>
    <row r="636" spans="2:6" x14ac:dyDescent="0.3">
      <c r="B636" s="97" t="s">
        <v>328</v>
      </c>
      <c r="C636" s="97" t="s">
        <v>429</v>
      </c>
      <c r="D636" s="98">
        <v>254</v>
      </c>
      <c r="E636" s="98">
        <v>642</v>
      </c>
      <c r="F636" s="99">
        <v>308</v>
      </c>
    </row>
    <row r="637" spans="2:6" x14ac:dyDescent="0.3">
      <c r="B637" s="97" t="s">
        <v>328</v>
      </c>
      <c r="C637" s="97" t="s">
        <v>430</v>
      </c>
      <c r="D637" s="98">
        <v>157</v>
      </c>
      <c r="E637" s="98">
        <v>440</v>
      </c>
      <c r="F637" s="99">
        <v>436</v>
      </c>
    </row>
    <row r="638" spans="2:6" x14ac:dyDescent="0.3">
      <c r="B638" s="97" t="s">
        <v>328</v>
      </c>
      <c r="C638" s="97" t="s">
        <v>431</v>
      </c>
      <c r="D638" s="98">
        <v>788</v>
      </c>
      <c r="E638" s="98">
        <v>988</v>
      </c>
      <c r="F638" s="99">
        <v>673</v>
      </c>
    </row>
    <row r="639" spans="2:6" x14ac:dyDescent="0.3">
      <c r="B639" s="97" t="s">
        <v>328</v>
      </c>
      <c r="C639" s="97" t="s">
        <v>432</v>
      </c>
      <c r="D639" s="98">
        <v>398</v>
      </c>
      <c r="E639" s="98">
        <v>454</v>
      </c>
      <c r="F639" s="99">
        <v>333</v>
      </c>
    </row>
    <row r="640" spans="2:6" x14ac:dyDescent="0.3">
      <c r="B640" s="97" t="s">
        <v>328</v>
      </c>
      <c r="C640" s="97" t="s">
        <v>433</v>
      </c>
      <c r="D640" s="98">
        <v>796</v>
      </c>
      <c r="E640" s="98">
        <v>912</v>
      </c>
      <c r="F640" s="99">
        <v>687</v>
      </c>
    </row>
    <row r="641" spans="2:6" x14ac:dyDescent="0.3">
      <c r="B641" s="97" t="s">
        <v>328</v>
      </c>
      <c r="C641" s="97" t="s">
        <v>434</v>
      </c>
      <c r="D641" s="98">
        <v>633</v>
      </c>
      <c r="E641" s="98">
        <v>1349</v>
      </c>
      <c r="F641" s="99">
        <v>564</v>
      </c>
    </row>
    <row r="642" spans="2:6" x14ac:dyDescent="0.3">
      <c r="B642" s="97" t="s">
        <v>328</v>
      </c>
      <c r="C642" s="97" t="s">
        <v>435</v>
      </c>
      <c r="D642" s="98">
        <v>1018</v>
      </c>
      <c r="E642" s="98">
        <v>1622</v>
      </c>
      <c r="F642" s="99">
        <v>826</v>
      </c>
    </row>
    <row r="643" spans="2:6" x14ac:dyDescent="0.3">
      <c r="B643" s="97" t="s">
        <v>328</v>
      </c>
      <c r="C643" s="97" t="s">
        <v>436</v>
      </c>
      <c r="D643" s="98">
        <v>356</v>
      </c>
      <c r="E643" s="98">
        <v>429</v>
      </c>
      <c r="F643" s="99">
        <v>621</v>
      </c>
    </row>
    <row r="644" spans="2:6" x14ac:dyDescent="0.3">
      <c r="B644" s="97" t="s">
        <v>328</v>
      </c>
      <c r="C644" s="97" t="s">
        <v>437</v>
      </c>
      <c r="D644" s="98">
        <v>1173</v>
      </c>
      <c r="E644" s="98">
        <v>1342</v>
      </c>
      <c r="F644" s="99">
        <v>605</v>
      </c>
    </row>
    <row r="645" spans="2:6" x14ac:dyDescent="0.3">
      <c r="B645" s="97" t="s">
        <v>328</v>
      </c>
      <c r="C645" s="97" t="s">
        <v>438</v>
      </c>
      <c r="D645" s="98">
        <v>729</v>
      </c>
      <c r="E645" s="98">
        <v>1085</v>
      </c>
      <c r="F645" s="99">
        <v>838</v>
      </c>
    </row>
    <row r="646" spans="2:6" x14ac:dyDescent="0.3">
      <c r="B646" s="97" t="s">
        <v>328</v>
      </c>
      <c r="C646" s="97" t="s">
        <v>439</v>
      </c>
      <c r="D646" s="98">
        <v>935</v>
      </c>
      <c r="E646" s="98">
        <v>1436</v>
      </c>
      <c r="F646" s="99">
        <v>1237</v>
      </c>
    </row>
    <row r="647" spans="2:6" x14ac:dyDescent="0.3">
      <c r="B647" s="97" t="s">
        <v>328</v>
      </c>
      <c r="C647" s="97" t="s">
        <v>440</v>
      </c>
      <c r="D647" s="98">
        <v>930</v>
      </c>
      <c r="E647" s="98">
        <v>1328</v>
      </c>
      <c r="F647" s="99">
        <v>1024</v>
      </c>
    </row>
    <row r="648" spans="2:6" x14ac:dyDescent="0.3">
      <c r="B648" s="97" t="s">
        <v>328</v>
      </c>
      <c r="C648" s="97" t="s">
        <v>441</v>
      </c>
      <c r="D648" s="98">
        <v>1207</v>
      </c>
      <c r="E648" s="98">
        <v>1863</v>
      </c>
      <c r="F648" s="99">
        <v>1375</v>
      </c>
    </row>
    <row r="649" spans="2:6" x14ac:dyDescent="0.3">
      <c r="B649" s="97" t="s">
        <v>328</v>
      </c>
      <c r="C649" s="97" t="s">
        <v>442</v>
      </c>
      <c r="D649" s="98">
        <v>1089</v>
      </c>
      <c r="E649" s="98">
        <v>1554</v>
      </c>
      <c r="F649" s="99">
        <v>945</v>
      </c>
    </row>
    <row r="650" spans="2:6" x14ac:dyDescent="0.3">
      <c r="B650" s="97" t="s">
        <v>328</v>
      </c>
      <c r="C650" s="97" t="s">
        <v>443</v>
      </c>
      <c r="D650" s="98">
        <v>1179</v>
      </c>
      <c r="E650" s="98">
        <v>1541</v>
      </c>
      <c r="F650" s="99">
        <v>1136</v>
      </c>
    </row>
    <row r="651" spans="2:6" x14ac:dyDescent="0.3">
      <c r="B651" s="97" t="s">
        <v>328</v>
      </c>
      <c r="C651" s="97" t="s">
        <v>444</v>
      </c>
      <c r="D651" s="98">
        <v>646</v>
      </c>
      <c r="E651" s="98">
        <v>1144</v>
      </c>
      <c r="F651" s="99">
        <v>1027</v>
      </c>
    </row>
    <row r="652" spans="2:6" x14ac:dyDescent="0.3">
      <c r="B652" s="97" t="s">
        <v>328</v>
      </c>
      <c r="C652" s="97" t="s">
        <v>445</v>
      </c>
      <c r="D652" s="98">
        <v>689</v>
      </c>
      <c r="E652" s="98">
        <v>1352</v>
      </c>
      <c r="F652" s="99">
        <v>777</v>
      </c>
    </row>
    <row r="653" spans="2:6" x14ac:dyDescent="0.3">
      <c r="B653" s="97" t="s">
        <v>328</v>
      </c>
      <c r="C653" s="97" t="s">
        <v>446</v>
      </c>
      <c r="D653" s="98">
        <v>92</v>
      </c>
      <c r="E653" s="98">
        <v>1393</v>
      </c>
      <c r="F653" s="99">
        <v>295</v>
      </c>
    </row>
    <row r="654" spans="2:6" x14ac:dyDescent="0.3">
      <c r="B654" s="97" t="s">
        <v>328</v>
      </c>
      <c r="C654" s="97" t="s">
        <v>447</v>
      </c>
      <c r="D654" s="98">
        <v>361</v>
      </c>
      <c r="E654" s="98">
        <v>4109</v>
      </c>
      <c r="F654" s="99">
        <v>761</v>
      </c>
    </row>
    <row r="655" spans="2:6" x14ac:dyDescent="0.3">
      <c r="B655" s="97" t="s">
        <v>328</v>
      </c>
      <c r="C655" s="97" t="s">
        <v>448</v>
      </c>
      <c r="D655" s="98">
        <v>148</v>
      </c>
      <c r="E655" s="98">
        <v>1510</v>
      </c>
      <c r="F655" s="99">
        <v>300</v>
      </c>
    </row>
    <row r="656" spans="2:6" x14ac:dyDescent="0.3">
      <c r="B656" s="97" t="s">
        <v>328</v>
      </c>
      <c r="C656" s="97" t="s">
        <v>449</v>
      </c>
      <c r="D656" s="98">
        <v>367</v>
      </c>
      <c r="E656" s="98">
        <v>1942</v>
      </c>
      <c r="F656" s="99">
        <v>817</v>
      </c>
    </row>
    <row r="657" spans="2:6" x14ac:dyDescent="0.3">
      <c r="B657" s="97" t="s">
        <v>328</v>
      </c>
      <c r="C657" s="97" t="s">
        <v>450</v>
      </c>
      <c r="D657" s="98">
        <v>96</v>
      </c>
      <c r="E657" s="98">
        <v>249</v>
      </c>
      <c r="F657" s="99">
        <v>191</v>
      </c>
    </row>
    <row r="658" spans="2:6" x14ac:dyDescent="0.3">
      <c r="B658" s="97" t="s">
        <v>328</v>
      </c>
      <c r="C658" s="97" t="s">
        <v>451</v>
      </c>
      <c r="D658" s="98">
        <v>104</v>
      </c>
      <c r="E658" s="98">
        <v>281</v>
      </c>
      <c r="F658" s="99">
        <v>241</v>
      </c>
    </row>
    <row r="659" spans="2:6" x14ac:dyDescent="0.3">
      <c r="B659" s="97" t="s">
        <v>328</v>
      </c>
      <c r="C659" s="97" t="s">
        <v>452</v>
      </c>
      <c r="D659" s="98">
        <v>152</v>
      </c>
      <c r="E659" s="98">
        <v>225</v>
      </c>
      <c r="F659" s="99">
        <v>215</v>
      </c>
    </row>
    <row r="660" spans="2:6" x14ac:dyDescent="0.3">
      <c r="B660" s="97" t="s">
        <v>328</v>
      </c>
      <c r="C660" s="97" t="s">
        <v>453</v>
      </c>
      <c r="D660" s="98">
        <v>661</v>
      </c>
      <c r="E660" s="98">
        <v>1509</v>
      </c>
      <c r="F660" s="99">
        <v>818</v>
      </c>
    </row>
    <row r="661" spans="2:6" x14ac:dyDescent="0.3">
      <c r="B661" s="97" t="s">
        <v>328</v>
      </c>
      <c r="C661" s="97" t="s">
        <v>454</v>
      </c>
      <c r="D661" s="98">
        <v>417</v>
      </c>
      <c r="E661" s="98">
        <v>591</v>
      </c>
      <c r="F661" s="99">
        <v>414</v>
      </c>
    </row>
    <row r="662" spans="2:6" x14ac:dyDescent="0.3">
      <c r="B662" s="97" t="s">
        <v>328</v>
      </c>
      <c r="C662" s="97" t="s">
        <v>455</v>
      </c>
      <c r="D662" s="98">
        <v>588</v>
      </c>
      <c r="E662" s="98">
        <v>1036</v>
      </c>
      <c r="F662" s="99">
        <v>725</v>
      </c>
    </row>
    <row r="663" spans="2:6" x14ac:dyDescent="0.3">
      <c r="B663" s="97" t="s">
        <v>328</v>
      </c>
      <c r="C663" s="97" t="s">
        <v>456</v>
      </c>
      <c r="D663" s="98">
        <v>99</v>
      </c>
      <c r="E663" s="98">
        <v>566</v>
      </c>
      <c r="F663" s="99">
        <v>200</v>
      </c>
    </row>
    <row r="664" spans="2:6" x14ac:dyDescent="0.3">
      <c r="B664" s="97" t="s">
        <v>328</v>
      </c>
      <c r="C664" s="97" t="s">
        <v>457</v>
      </c>
      <c r="D664" s="98">
        <v>1113</v>
      </c>
      <c r="E664" s="98">
        <v>1539</v>
      </c>
      <c r="F664" s="99">
        <v>1209</v>
      </c>
    </row>
    <row r="665" spans="2:6" x14ac:dyDescent="0.3">
      <c r="B665" s="97" t="s">
        <v>328</v>
      </c>
      <c r="C665" s="97" t="s">
        <v>458</v>
      </c>
      <c r="D665" s="98">
        <v>1462</v>
      </c>
      <c r="E665" s="98">
        <v>1993</v>
      </c>
      <c r="F665" s="99">
        <v>1444</v>
      </c>
    </row>
    <row r="666" spans="2:6" x14ac:dyDescent="0.3">
      <c r="B666" s="97" t="s">
        <v>328</v>
      </c>
      <c r="C666" s="97" t="s">
        <v>459</v>
      </c>
      <c r="D666" s="98">
        <v>1094</v>
      </c>
      <c r="E666" s="98">
        <v>1924</v>
      </c>
      <c r="F666" s="99">
        <v>1466</v>
      </c>
    </row>
    <row r="667" spans="2:6" x14ac:dyDescent="0.3">
      <c r="B667" s="97" t="s">
        <v>328</v>
      </c>
      <c r="C667" s="97" t="s">
        <v>460</v>
      </c>
      <c r="D667" s="98">
        <v>924</v>
      </c>
      <c r="E667" s="98">
        <v>1799</v>
      </c>
      <c r="F667" s="99">
        <v>1269</v>
      </c>
    </row>
    <row r="668" spans="2:6" x14ac:dyDescent="0.3">
      <c r="B668" s="97" t="s">
        <v>328</v>
      </c>
      <c r="C668" s="97" t="s">
        <v>461</v>
      </c>
      <c r="D668" s="98">
        <v>0</v>
      </c>
      <c r="E668" s="98">
        <v>0</v>
      </c>
      <c r="F668" s="99">
        <v>0</v>
      </c>
    </row>
    <row r="669" spans="2:6" x14ac:dyDescent="0.3">
      <c r="B669" s="97" t="s">
        <v>328</v>
      </c>
      <c r="C669" s="97" t="s">
        <v>462</v>
      </c>
      <c r="D669" s="98">
        <v>296</v>
      </c>
      <c r="E669" s="98">
        <v>443</v>
      </c>
      <c r="F669" s="99">
        <v>157</v>
      </c>
    </row>
    <row r="670" spans="2:6" x14ac:dyDescent="0.3">
      <c r="B670" s="97" t="s">
        <v>328</v>
      </c>
      <c r="C670" s="97" t="s">
        <v>463</v>
      </c>
      <c r="D670" s="98">
        <v>858</v>
      </c>
      <c r="E670" s="98">
        <v>1562</v>
      </c>
      <c r="F670" s="99">
        <v>832</v>
      </c>
    </row>
    <row r="671" spans="2:6" x14ac:dyDescent="0.3">
      <c r="B671" s="97" t="s">
        <v>328</v>
      </c>
      <c r="C671" s="97" t="s">
        <v>464</v>
      </c>
      <c r="D671" s="98">
        <v>487</v>
      </c>
      <c r="E671" s="98">
        <v>821</v>
      </c>
      <c r="F671" s="99">
        <v>556</v>
      </c>
    </row>
    <row r="672" spans="2:6" x14ac:dyDescent="0.3">
      <c r="B672" s="97" t="s">
        <v>328</v>
      </c>
      <c r="C672" s="97" t="s">
        <v>465</v>
      </c>
      <c r="D672" s="98">
        <v>985</v>
      </c>
      <c r="E672" s="98">
        <v>2100</v>
      </c>
      <c r="F672" s="99">
        <v>1402</v>
      </c>
    </row>
    <row r="673" spans="2:6" x14ac:dyDescent="0.3">
      <c r="B673" s="97" t="s">
        <v>328</v>
      </c>
      <c r="C673" s="97" t="s">
        <v>466</v>
      </c>
      <c r="D673" s="98">
        <v>430</v>
      </c>
      <c r="E673" s="98">
        <v>976</v>
      </c>
      <c r="F673" s="99">
        <v>616</v>
      </c>
    </row>
    <row r="674" spans="2:6" x14ac:dyDescent="0.3">
      <c r="B674" s="97" t="s">
        <v>328</v>
      </c>
      <c r="C674" s="97" t="s">
        <v>467</v>
      </c>
      <c r="D674" s="98">
        <v>11</v>
      </c>
      <c r="E674" s="98">
        <v>4</v>
      </c>
      <c r="F674" s="99">
        <v>351</v>
      </c>
    </row>
    <row r="675" spans="2:6" x14ac:dyDescent="0.3">
      <c r="B675" s="97" t="s">
        <v>328</v>
      </c>
      <c r="C675" s="97" t="s">
        <v>468</v>
      </c>
      <c r="D675" s="98">
        <v>370</v>
      </c>
      <c r="E675" s="98">
        <v>480</v>
      </c>
      <c r="F675" s="99">
        <v>398</v>
      </c>
    </row>
    <row r="676" spans="2:6" x14ac:dyDescent="0.3">
      <c r="B676" s="97" t="s">
        <v>328</v>
      </c>
      <c r="C676" s="97" t="s">
        <v>469</v>
      </c>
      <c r="D676" s="98">
        <v>778</v>
      </c>
      <c r="E676" s="98">
        <v>1343</v>
      </c>
      <c r="F676" s="99">
        <v>1071</v>
      </c>
    </row>
    <row r="677" spans="2:6" x14ac:dyDescent="0.3">
      <c r="B677" s="97" t="s">
        <v>328</v>
      </c>
      <c r="C677" s="97" t="s">
        <v>470</v>
      </c>
      <c r="D677" s="98">
        <v>783</v>
      </c>
      <c r="E677" s="98">
        <v>1429</v>
      </c>
      <c r="F677" s="99">
        <v>1018</v>
      </c>
    </row>
    <row r="678" spans="2:6" x14ac:dyDescent="0.3">
      <c r="B678" s="97" t="s">
        <v>328</v>
      </c>
      <c r="C678" s="97" t="s">
        <v>471</v>
      </c>
      <c r="D678" s="98">
        <v>1376</v>
      </c>
      <c r="E678" s="98">
        <v>2314</v>
      </c>
      <c r="F678" s="99">
        <v>1440</v>
      </c>
    </row>
    <row r="679" spans="2:6" x14ac:dyDescent="0.3">
      <c r="B679" s="97" t="s">
        <v>328</v>
      </c>
      <c r="C679" s="97" t="s">
        <v>472</v>
      </c>
      <c r="D679" s="98">
        <v>717</v>
      </c>
      <c r="E679" s="98">
        <v>1732</v>
      </c>
      <c r="F679" s="99">
        <v>1623</v>
      </c>
    </row>
    <row r="680" spans="2:6" x14ac:dyDescent="0.3">
      <c r="B680" s="97" t="s">
        <v>328</v>
      </c>
      <c r="C680" s="97" t="s">
        <v>473</v>
      </c>
      <c r="D680" s="98">
        <v>301</v>
      </c>
      <c r="E680" s="98">
        <v>720</v>
      </c>
      <c r="F680" s="99">
        <v>629</v>
      </c>
    </row>
    <row r="681" spans="2:6" x14ac:dyDescent="0.3">
      <c r="B681" s="97" t="s">
        <v>328</v>
      </c>
      <c r="C681" s="97" t="s">
        <v>474</v>
      </c>
      <c r="D681" s="98">
        <v>179</v>
      </c>
      <c r="E681" s="98">
        <v>303</v>
      </c>
      <c r="F681" s="99">
        <v>258</v>
      </c>
    </row>
    <row r="682" spans="2:6" x14ac:dyDescent="0.3">
      <c r="B682" s="97" t="s">
        <v>328</v>
      </c>
      <c r="C682" s="97" t="s">
        <v>475</v>
      </c>
      <c r="D682" s="98">
        <v>919</v>
      </c>
      <c r="E682" s="98">
        <v>1445</v>
      </c>
      <c r="F682" s="99">
        <v>1250</v>
      </c>
    </row>
    <row r="683" spans="2:6" x14ac:dyDescent="0.3">
      <c r="B683" s="97" t="s">
        <v>328</v>
      </c>
      <c r="C683" s="97" t="s">
        <v>476</v>
      </c>
      <c r="D683" s="98">
        <v>396</v>
      </c>
      <c r="E683" s="98">
        <v>704</v>
      </c>
      <c r="F683" s="99">
        <v>712</v>
      </c>
    </row>
    <row r="684" spans="2:6" x14ac:dyDescent="0.3">
      <c r="B684" s="97" t="s">
        <v>328</v>
      </c>
      <c r="C684" s="97" t="s">
        <v>477</v>
      </c>
      <c r="D684" s="98">
        <v>387</v>
      </c>
      <c r="E684" s="98">
        <v>735</v>
      </c>
      <c r="F684" s="99">
        <v>677</v>
      </c>
    </row>
    <row r="685" spans="2:6" x14ac:dyDescent="0.3">
      <c r="B685" s="97" t="s">
        <v>328</v>
      </c>
      <c r="C685" s="97" t="s">
        <v>478</v>
      </c>
      <c r="D685" s="98">
        <v>869</v>
      </c>
      <c r="E685" s="98">
        <v>1267</v>
      </c>
      <c r="F685" s="99">
        <v>801</v>
      </c>
    </row>
    <row r="686" spans="2:6" x14ac:dyDescent="0.3">
      <c r="B686" s="97" t="s">
        <v>328</v>
      </c>
      <c r="C686" s="97" t="s">
        <v>479</v>
      </c>
      <c r="D686" s="98">
        <v>1500</v>
      </c>
      <c r="E686" s="98">
        <v>2104</v>
      </c>
      <c r="F686" s="99">
        <v>1570</v>
      </c>
    </row>
    <row r="687" spans="2:6" x14ac:dyDescent="0.3">
      <c r="B687" s="97" t="s">
        <v>328</v>
      </c>
      <c r="C687" s="97" t="s">
        <v>480</v>
      </c>
      <c r="D687" s="98">
        <v>1064</v>
      </c>
      <c r="E687" s="98">
        <v>1509</v>
      </c>
      <c r="F687" s="99">
        <v>1126</v>
      </c>
    </row>
    <row r="688" spans="2:6" x14ac:dyDescent="0.3">
      <c r="B688" s="97" t="s">
        <v>328</v>
      </c>
      <c r="C688" s="97" t="s">
        <v>481</v>
      </c>
      <c r="D688" s="98">
        <v>1272</v>
      </c>
      <c r="E688" s="98">
        <v>2058</v>
      </c>
      <c r="F688" s="99">
        <v>1702</v>
      </c>
    </row>
    <row r="689" spans="1:11" x14ac:dyDescent="0.3">
      <c r="B689" s="97" t="s">
        <v>328</v>
      </c>
      <c r="C689" s="97" t="s">
        <v>482</v>
      </c>
      <c r="D689" s="98">
        <v>916</v>
      </c>
      <c r="E689" s="98">
        <v>1326</v>
      </c>
      <c r="F689" s="99">
        <v>840</v>
      </c>
    </row>
    <row r="690" spans="1:11" x14ac:dyDescent="0.3">
      <c r="B690" s="97" t="s">
        <v>328</v>
      </c>
      <c r="C690" s="97" t="s">
        <v>483</v>
      </c>
      <c r="D690" s="98">
        <v>877</v>
      </c>
      <c r="E690" s="98">
        <v>1498</v>
      </c>
      <c r="F690" s="99">
        <v>1274</v>
      </c>
    </row>
    <row r="691" spans="1:11" x14ac:dyDescent="0.3">
      <c r="B691" s="97" t="s">
        <v>328</v>
      </c>
      <c r="C691" s="97" t="s">
        <v>484</v>
      </c>
      <c r="D691" s="98">
        <v>716</v>
      </c>
      <c r="E691" s="98">
        <v>1119</v>
      </c>
      <c r="F691" s="99">
        <v>837</v>
      </c>
    </row>
    <row r="692" spans="1:11" x14ac:dyDescent="0.3">
      <c r="B692" s="97" t="s">
        <v>328</v>
      </c>
      <c r="C692" s="97" t="s">
        <v>485</v>
      </c>
      <c r="D692" s="98">
        <v>772</v>
      </c>
      <c r="E692" s="98">
        <v>1410</v>
      </c>
      <c r="F692" s="99">
        <v>1199</v>
      </c>
    </row>
    <row r="693" spans="1:11" x14ac:dyDescent="0.3">
      <c r="B693" s="97" t="s">
        <v>328</v>
      </c>
      <c r="C693" s="97" t="s">
        <v>486</v>
      </c>
      <c r="D693" s="98">
        <v>1190</v>
      </c>
      <c r="E693" s="98">
        <v>1969</v>
      </c>
      <c r="F693" s="99">
        <v>1597</v>
      </c>
    </row>
    <row r="695" spans="1:11" x14ac:dyDescent="0.3">
      <c r="A695" s="9" t="s">
        <v>489</v>
      </c>
    </row>
    <row r="697" spans="1:11" x14ac:dyDescent="0.3">
      <c r="B697" s="76" t="s">
        <v>490</v>
      </c>
      <c r="C697" s="76" t="s">
        <v>491</v>
      </c>
      <c r="D697" s="76" t="s">
        <v>492</v>
      </c>
      <c r="E697" s="76" t="s">
        <v>493</v>
      </c>
      <c r="K697" t="s">
        <v>502</v>
      </c>
    </row>
    <row r="698" spans="1:11" x14ac:dyDescent="0.3">
      <c r="B698" s="77">
        <v>1</v>
      </c>
      <c r="C698" s="104">
        <v>8000</v>
      </c>
      <c r="D698" s="77" t="s">
        <v>494</v>
      </c>
      <c r="E698" s="77">
        <v>10</v>
      </c>
    </row>
    <row r="699" spans="1:11" x14ac:dyDescent="0.3">
      <c r="B699" s="77">
        <v>2</v>
      </c>
      <c r="C699" s="104">
        <v>11000</v>
      </c>
      <c r="D699" s="77" t="s">
        <v>494</v>
      </c>
      <c r="E699" s="77">
        <v>9</v>
      </c>
    </row>
    <row r="700" spans="1:11" x14ac:dyDescent="0.3">
      <c r="B700" s="77">
        <v>3</v>
      </c>
      <c r="C700" s="104">
        <v>6000</v>
      </c>
      <c r="D700" s="77" t="s">
        <v>495</v>
      </c>
      <c r="E700" s="77">
        <v>5</v>
      </c>
    </row>
    <row r="701" spans="1:11" x14ac:dyDescent="0.3">
      <c r="B701" s="77">
        <v>4</v>
      </c>
      <c r="C701" s="104">
        <v>15000</v>
      </c>
      <c r="D701" s="77" t="s">
        <v>494</v>
      </c>
      <c r="E701" s="77">
        <v>10</v>
      </c>
    </row>
    <row r="702" spans="1:11" x14ac:dyDescent="0.3">
      <c r="B702" s="77">
        <v>5</v>
      </c>
      <c r="C702" s="104">
        <v>10000</v>
      </c>
      <c r="D702" s="77" t="s">
        <v>495</v>
      </c>
      <c r="E702" s="77">
        <v>2</v>
      </c>
    </row>
    <row r="703" spans="1:11" x14ac:dyDescent="0.3">
      <c r="B703" s="77">
        <v>6</v>
      </c>
      <c r="C703" s="104">
        <v>15000</v>
      </c>
      <c r="D703" s="77" t="s">
        <v>494</v>
      </c>
      <c r="E703" s="77">
        <v>5</v>
      </c>
    </row>
    <row r="704" spans="1:11" x14ac:dyDescent="0.3">
      <c r="B704" s="77">
        <v>7</v>
      </c>
      <c r="C704" s="104">
        <v>13000</v>
      </c>
      <c r="D704" s="77" t="s">
        <v>494</v>
      </c>
      <c r="E704" s="77">
        <v>999</v>
      </c>
    </row>
    <row r="705" spans="1:9" x14ac:dyDescent="0.3">
      <c r="B705" s="77">
        <v>8</v>
      </c>
      <c r="C705" s="104">
        <v>8000</v>
      </c>
      <c r="D705" s="77" t="s">
        <v>494</v>
      </c>
      <c r="E705" s="77">
        <v>2</v>
      </c>
    </row>
    <row r="706" spans="1:9" x14ac:dyDescent="0.3">
      <c r="B706" s="77">
        <v>9</v>
      </c>
      <c r="C706" s="104">
        <v>11000</v>
      </c>
      <c r="D706" s="77" t="s">
        <v>495</v>
      </c>
      <c r="E706" s="77">
        <v>5</v>
      </c>
    </row>
    <row r="707" spans="1:9" x14ac:dyDescent="0.3">
      <c r="B707" s="77">
        <v>10</v>
      </c>
      <c r="C707" s="104">
        <v>9000</v>
      </c>
      <c r="D707" s="77" t="s">
        <v>494</v>
      </c>
      <c r="E707" s="77">
        <v>6</v>
      </c>
    </row>
    <row r="710" spans="1:9" ht="15" thickBot="1" x14ac:dyDescent="0.35">
      <c r="B710" s="9" t="s">
        <v>496</v>
      </c>
    </row>
    <row r="711" spans="1:9" ht="15" thickBot="1" x14ac:dyDescent="0.35">
      <c r="A711">
        <v>1</v>
      </c>
      <c r="B711" t="s">
        <v>497</v>
      </c>
      <c r="G711" s="107"/>
      <c r="H711" s="106">
        <f>SUMIF(D:D,"YES",C:C)</f>
        <v>79000</v>
      </c>
      <c r="I711" s="107"/>
    </row>
    <row r="712" spans="1:9" ht="15" thickBot="1" x14ac:dyDescent="0.35">
      <c r="A712">
        <v>2</v>
      </c>
      <c r="B712" t="s">
        <v>498</v>
      </c>
      <c r="H712" s="105">
        <f>SUMIF(D698:D707,"NO",C698:C707)</f>
        <v>27000</v>
      </c>
    </row>
    <row r="713" spans="1:9" ht="15" thickBot="1" x14ac:dyDescent="0.35">
      <c r="A713">
        <v>3</v>
      </c>
      <c r="B713" t="s">
        <v>499</v>
      </c>
      <c r="H713" s="105">
        <f>SUMIF(C698:C707,"&gt;10000",E698:E707)</f>
        <v>1028</v>
      </c>
    </row>
    <row r="715" spans="1:9" ht="15" thickBot="1" x14ac:dyDescent="0.35"/>
    <row r="716" spans="1:9" ht="15" thickBot="1" x14ac:dyDescent="0.35">
      <c r="A716">
        <v>4</v>
      </c>
      <c r="B716" t="s">
        <v>500</v>
      </c>
      <c r="H716" s="105">
        <f>SUMIF(C698:C707,"&gt;10000",C698:C707)</f>
        <v>65000</v>
      </c>
    </row>
    <row r="717" spans="1:9" ht="15" thickBot="1" x14ac:dyDescent="0.35">
      <c r="A717">
        <v>5</v>
      </c>
      <c r="B717" t="s">
        <v>501</v>
      </c>
      <c r="H717" s="105">
        <f>SUMIF(C698:C707,"&lt;9500",C698:C707)</f>
        <v>31000</v>
      </c>
    </row>
    <row r="720" spans="1:9" x14ac:dyDescent="0.3">
      <c r="A720" s="9" t="s">
        <v>503</v>
      </c>
    </row>
    <row r="722" spans="1:11" x14ac:dyDescent="0.3">
      <c r="A722" s="108"/>
      <c r="B722" s="109" t="s">
        <v>504</v>
      </c>
      <c r="C722" s="108"/>
      <c r="D722" s="108"/>
      <c r="E722" s="108"/>
      <c r="F722" s="108"/>
      <c r="G722" s="108"/>
      <c r="H722" s="108"/>
      <c r="I722" s="108"/>
      <c r="J722" s="108"/>
      <c r="K722" s="108"/>
    </row>
    <row r="723" spans="1:11" x14ac:dyDescent="0.3">
      <c r="A723" s="108"/>
      <c r="B723" s="110" t="s">
        <v>1</v>
      </c>
      <c r="C723" s="110" t="s">
        <v>505</v>
      </c>
      <c r="D723" s="110" t="s">
        <v>506</v>
      </c>
      <c r="E723" s="110" t="s">
        <v>507</v>
      </c>
      <c r="F723" s="108"/>
      <c r="G723" s="108"/>
      <c r="H723" s="108"/>
      <c r="I723" s="108"/>
      <c r="J723" s="108"/>
      <c r="K723" s="108"/>
    </row>
    <row r="724" spans="1:11" x14ac:dyDescent="0.3">
      <c r="A724" s="108"/>
      <c r="B724" s="111" t="s">
        <v>508</v>
      </c>
      <c r="C724" s="111" t="s">
        <v>509</v>
      </c>
      <c r="D724" s="111" t="s">
        <v>510</v>
      </c>
      <c r="E724" s="111">
        <v>28</v>
      </c>
      <c r="F724" s="108"/>
      <c r="G724" s="108"/>
      <c r="H724" s="108"/>
      <c r="I724" s="108"/>
      <c r="J724" s="108"/>
      <c r="K724" s="108"/>
    </row>
    <row r="725" spans="1:11" x14ac:dyDescent="0.3">
      <c r="A725" s="108"/>
      <c r="B725" s="111" t="s">
        <v>511</v>
      </c>
      <c r="C725" s="111" t="s">
        <v>512</v>
      </c>
      <c r="D725" s="111" t="s">
        <v>513</v>
      </c>
      <c r="E725" s="111">
        <v>8</v>
      </c>
      <c r="F725" s="108"/>
      <c r="G725" s="108"/>
      <c r="H725" s="108"/>
      <c r="I725" s="108"/>
      <c r="J725" s="108"/>
      <c r="K725" s="108"/>
    </row>
    <row r="726" spans="1:11" x14ac:dyDescent="0.3">
      <c r="A726" s="108"/>
      <c r="B726" s="111" t="s">
        <v>514</v>
      </c>
      <c r="C726" s="111" t="s">
        <v>515</v>
      </c>
      <c r="D726" s="111" t="s">
        <v>510</v>
      </c>
      <c r="E726" s="111">
        <v>19</v>
      </c>
      <c r="F726" s="108"/>
      <c r="G726" s="108"/>
      <c r="H726" s="108"/>
      <c r="I726" s="108"/>
      <c r="J726" s="108"/>
      <c r="K726" s="108"/>
    </row>
    <row r="727" spans="1:11" x14ac:dyDescent="0.3">
      <c r="A727" s="108"/>
      <c r="B727" s="111" t="s">
        <v>516</v>
      </c>
      <c r="C727" s="111" t="s">
        <v>517</v>
      </c>
      <c r="D727" s="111" t="s">
        <v>518</v>
      </c>
      <c r="E727" s="111">
        <v>2</v>
      </c>
      <c r="F727" s="108"/>
      <c r="G727" s="108"/>
      <c r="H727" s="108"/>
      <c r="I727" s="108"/>
      <c r="J727" s="108"/>
      <c r="K727" s="108"/>
    </row>
    <row r="728" spans="1:11" x14ac:dyDescent="0.3">
      <c r="A728" s="108"/>
      <c r="B728" s="111" t="s">
        <v>519</v>
      </c>
      <c r="C728" s="111" t="s">
        <v>515</v>
      </c>
      <c r="D728" s="111" t="s">
        <v>520</v>
      </c>
      <c r="E728" s="111">
        <v>5</v>
      </c>
      <c r="F728" s="108"/>
      <c r="G728" s="108"/>
      <c r="H728" s="108"/>
      <c r="I728" s="108"/>
      <c r="J728" s="108"/>
      <c r="K728" s="108"/>
    </row>
    <row r="729" spans="1:11" x14ac:dyDescent="0.3">
      <c r="A729" s="108"/>
      <c r="B729" s="111" t="s">
        <v>521</v>
      </c>
      <c r="C729" s="111" t="s">
        <v>512</v>
      </c>
      <c r="D729" s="111" t="s">
        <v>510</v>
      </c>
      <c r="E729" s="111">
        <v>9</v>
      </c>
      <c r="F729" s="108"/>
      <c r="G729" s="108"/>
      <c r="H729" s="108"/>
      <c r="I729" s="108"/>
      <c r="J729" s="108"/>
      <c r="K729" s="108"/>
    </row>
    <row r="730" spans="1:11" x14ac:dyDescent="0.3">
      <c r="A730" s="108"/>
      <c r="B730" s="111" t="s">
        <v>522</v>
      </c>
      <c r="C730" s="111" t="s">
        <v>515</v>
      </c>
      <c r="D730" s="111" t="s">
        <v>523</v>
      </c>
      <c r="E730" s="111">
        <v>18</v>
      </c>
      <c r="F730" s="108"/>
      <c r="G730" s="108"/>
      <c r="H730" s="108"/>
      <c r="I730" s="108"/>
      <c r="J730" s="108"/>
      <c r="K730" s="108"/>
    </row>
    <row r="731" spans="1:11" x14ac:dyDescent="0.3">
      <c r="A731" s="108"/>
      <c r="B731" s="111" t="s">
        <v>524</v>
      </c>
      <c r="C731" s="111" t="s">
        <v>509</v>
      </c>
      <c r="D731" s="111" t="s">
        <v>510</v>
      </c>
      <c r="E731" s="111">
        <v>11</v>
      </c>
      <c r="F731" s="108"/>
      <c r="G731" s="108"/>
      <c r="H731" s="108"/>
      <c r="I731" s="108"/>
      <c r="J731" s="108"/>
      <c r="K731" s="108"/>
    </row>
    <row r="732" spans="1:11" x14ac:dyDescent="0.3">
      <c r="A732" s="108"/>
      <c r="B732" s="111" t="s">
        <v>525</v>
      </c>
      <c r="C732" s="111" t="s">
        <v>517</v>
      </c>
      <c r="D732" s="111" t="s">
        <v>526</v>
      </c>
      <c r="E732" s="111">
        <v>3</v>
      </c>
      <c r="F732" s="108"/>
      <c r="G732" s="108"/>
      <c r="H732" s="108"/>
      <c r="I732" s="108"/>
      <c r="J732" s="108"/>
      <c r="K732" s="108"/>
    </row>
    <row r="733" spans="1:11" x14ac:dyDescent="0.3">
      <c r="A733" s="108"/>
      <c r="B733" s="111" t="s">
        <v>527</v>
      </c>
      <c r="C733" s="111" t="s">
        <v>512</v>
      </c>
      <c r="D733" s="111" t="s">
        <v>528</v>
      </c>
      <c r="E733" s="111">
        <v>15</v>
      </c>
      <c r="F733" s="108"/>
      <c r="G733" s="108"/>
      <c r="H733" s="108"/>
      <c r="I733" s="108"/>
      <c r="J733" s="108"/>
      <c r="K733" s="108"/>
    </row>
    <row r="734" spans="1:11" x14ac:dyDescent="0.3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</row>
    <row r="735" spans="1:11" x14ac:dyDescent="0.3">
      <c r="A735" s="108"/>
      <c r="B735" s="112" t="s">
        <v>146</v>
      </c>
      <c r="C735" s="108"/>
      <c r="D735" s="108"/>
      <c r="E735" s="113" t="s">
        <v>529</v>
      </c>
      <c r="F735" s="108"/>
      <c r="G735" s="108"/>
      <c r="H735" s="108"/>
      <c r="I735" s="108"/>
      <c r="J735" s="108"/>
      <c r="K735" s="108"/>
    </row>
    <row r="736" spans="1:11" x14ac:dyDescent="0.3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</row>
    <row r="737" spans="1:11" x14ac:dyDescent="0.3">
      <c r="A737" s="108">
        <v>1</v>
      </c>
      <c r="B737" s="114" t="s">
        <v>530</v>
      </c>
      <c r="C737" s="108"/>
      <c r="D737" s="108"/>
      <c r="E737" s="108"/>
      <c r="F737" s="108"/>
      <c r="G737" s="108"/>
      <c r="H737" s="108"/>
      <c r="I737" s="108"/>
      <c r="J737" s="108"/>
      <c r="K737" s="108"/>
    </row>
    <row r="738" spans="1:11" x14ac:dyDescent="0.3">
      <c r="A738" s="108"/>
      <c r="B738" s="108"/>
      <c r="C738" s="46" t="s">
        <v>148</v>
      </c>
      <c r="D738" s="46"/>
      <c r="E738" s="108"/>
      <c r="F738" s="108"/>
      <c r="G738" s="108"/>
      <c r="H738" s="108"/>
      <c r="I738" s="108"/>
      <c r="J738" s="108"/>
      <c r="K738" s="108"/>
    </row>
    <row r="739" spans="1:11" x14ac:dyDescent="0.3">
      <c r="A739" s="108"/>
      <c r="B739" s="42" t="s">
        <v>119</v>
      </c>
      <c r="C739" s="47">
        <f>SUMIF(D724:D733,"USA",E724:E733)</f>
        <v>67</v>
      </c>
      <c r="D739" s="108"/>
      <c r="E739" s="108"/>
      <c r="F739" s="108"/>
      <c r="G739" s="108"/>
      <c r="H739" s="108"/>
      <c r="I739" s="108"/>
      <c r="J739" s="108"/>
      <c r="K739" s="108"/>
    </row>
    <row r="740" spans="1:11" x14ac:dyDescent="0.3">
      <c r="A740" s="108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</row>
    <row r="741" spans="1:11" x14ac:dyDescent="0.3">
      <c r="A741" s="108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</row>
    <row r="742" spans="1:11" x14ac:dyDescent="0.3">
      <c r="A742" s="108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</row>
    <row r="743" spans="1:11" x14ac:dyDescent="0.3">
      <c r="A743" s="108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</row>
    <row r="744" spans="1:11" x14ac:dyDescent="0.3">
      <c r="A744" s="108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</row>
    <row r="745" spans="1:11" x14ac:dyDescent="0.3">
      <c r="A745" s="108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</row>
    <row r="746" spans="1:11" x14ac:dyDescent="0.3">
      <c r="A746" s="108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</row>
    <row r="747" spans="1:11" x14ac:dyDescent="0.3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</row>
    <row r="748" spans="1:11" x14ac:dyDescent="0.3">
      <c r="A748" s="108">
        <v>2</v>
      </c>
      <c r="B748" s="114" t="s">
        <v>531</v>
      </c>
      <c r="C748" s="108"/>
      <c r="D748" s="108"/>
      <c r="E748" s="108"/>
      <c r="F748" s="108"/>
      <c r="G748" s="108"/>
      <c r="H748" s="108"/>
      <c r="I748" s="108"/>
      <c r="J748" s="108"/>
      <c r="K748" s="108"/>
    </row>
    <row r="749" spans="1:11" x14ac:dyDescent="0.3">
      <c r="A749" s="108"/>
      <c r="B749" s="108"/>
      <c r="C749" s="46" t="s">
        <v>148</v>
      </c>
      <c r="D749" s="46"/>
      <c r="E749" s="108"/>
      <c r="F749" s="108"/>
      <c r="G749" s="108"/>
      <c r="H749" s="108"/>
      <c r="I749" s="108"/>
      <c r="J749" s="108"/>
      <c r="K749" s="108"/>
    </row>
    <row r="750" spans="1:11" x14ac:dyDescent="0.3">
      <c r="A750" s="108"/>
      <c r="B750" s="42" t="s">
        <v>119</v>
      </c>
      <c r="C750" s="47">
        <f>SUMIF(C724:C733,"FIGURE SKATING",E724:E733)</f>
        <v>5</v>
      </c>
      <c r="D750" s="108"/>
      <c r="E750" s="108"/>
      <c r="F750" s="108"/>
      <c r="G750" s="108"/>
      <c r="H750" s="108"/>
      <c r="I750" s="108"/>
      <c r="J750" s="108"/>
      <c r="K750" s="108"/>
    </row>
    <row r="751" spans="1:11" x14ac:dyDescent="0.3">
      <c r="A751" s="108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</row>
    <row r="752" spans="1:11" x14ac:dyDescent="0.3">
      <c r="A752" s="108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</row>
    <row r="753" spans="1:11" x14ac:dyDescent="0.3">
      <c r="A753" s="108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</row>
    <row r="754" spans="1:11" x14ac:dyDescent="0.3">
      <c r="A754" s="108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</row>
    <row r="755" spans="1:11" x14ac:dyDescent="0.3">
      <c r="A755" s="108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</row>
    <row r="756" spans="1:11" x14ac:dyDescent="0.3">
      <c r="A756" s="108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</row>
    <row r="757" spans="1:11" x14ac:dyDescent="0.3">
      <c r="A757" s="108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</row>
    <row r="758" spans="1:11" x14ac:dyDescent="0.3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</row>
    <row r="759" spans="1:11" x14ac:dyDescent="0.3">
      <c r="A759" s="108">
        <v>2</v>
      </c>
      <c r="B759" s="114" t="s">
        <v>532</v>
      </c>
      <c r="C759" s="108"/>
      <c r="D759" s="108"/>
      <c r="E759" s="108"/>
      <c r="F759" s="108"/>
      <c r="G759" s="108"/>
      <c r="H759" s="108"/>
      <c r="I759" s="108"/>
      <c r="J759" s="108"/>
      <c r="K759" s="108"/>
    </row>
    <row r="760" spans="1:11" x14ac:dyDescent="0.3">
      <c r="A760" s="108"/>
      <c r="B760" s="108"/>
      <c r="C760" s="46" t="s">
        <v>148</v>
      </c>
      <c r="D760" s="46"/>
      <c r="E760" s="108"/>
      <c r="F760" s="108"/>
      <c r="G760" s="108"/>
      <c r="H760" s="108"/>
      <c r="I760" s="108"/>
      <c r="J760" s="108"/>
      <c r="K760" s="108"/>
    </row>
    <row r="761" spans="1:11" x14ac:dyDescent="0.3">
      <c r="A761" s="108"/>
      <c r="B761" s="42" t="s">
        <v>119</v>
      </c>
      <c r="C761" s="47">
        <f>SUMIF(D724:D733,"USA",E724:E733)+SUMIF(D724:D733,"JAMAICA",E724:E733)</f>
        <v>75</v>
      </c>
      <c r="D761" s="108"/>
      <c r="E761" s="108"/>
      <c r="F761" s="108"/>
      <c r="G761" s="108"/>
      <c r="H761" s="108"/>
      <c r="I761" s="108"/>
      <c r="J761" s="108"/>
      <c r="K761" s="108"/>
    </row>
    <row r="762" spans="1:11" x14ac:dyDescent="0.3">
      <c r="A762" s="108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</row>
    <row r="763" spans="1:11" x14ac:dyDescent="0.3">
      <c r="A763" s="108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</row>
    <row r="764" spans="1:11" x14ac:dyDescent="0.3">
      <c r="A764" s="108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</row>
    <row r="765" spans="1:11" x14ac:dyDescent="0.3">
      <c r="A765" s="108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</row>
    <row r="766" spans="1:11" x14ac:dyDescent="0.3">
      <c r="A766" s="108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</row>
    <row r="767" spans="1:11" x14ac:dyDescent="0.3">
      <c r="A767" s="108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</row>
    <row r="768" spans="1:11" x14ac:dyDescent="0.3">
      <c r="A768" s="108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</row>
    <row r="769" spans="1:11" x14ac:dyDescent="0.3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</row>
    <row r="770" spans="1:11" x14ac:dyDescent="0.3">
      <c r="A770" s="109" t="s">
        <v>533</v>
      </c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</row>
    <row r="771" spans="1:11" x14ac:dyDescent="0.3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</row>
    <row r="772" spans="1:11" x14ac:dyDescent="0.3">
      <c r="A772" t="s">
        <v>534</v>
      </c>
      <c r="J772" s="108"/>
      <c r="K772" s="108"/>
    </row>
    <row r="773" spans="1:11" x14ac:dyDescent="0.3">
      <c r="A773" t="s">
        <v>535</v>
      </c>
      <c r="J773" s="108"/>
      <c r="K773" s="108"/>
    </row>
    <row r="774" spans="1:11" x14ac:dyDescent="0.3">
      <c r="J774" s="108"/>
      <c r="K774" s="108"/>
    </row>
    <row r="775" spans="1:11" x14ac:dyDescent="0.3">
      <c r="G775" s="9" t="s">
        <v>536</v>
      </c>
    </row>
    <row r="777" spans="1:11" ht="28.8" x14ac:dyDescent="0.3">
      <c r="G777" s="115" t="s">
        <v>312</v>
      </c>
      <c r="H777" s="115" t="s">
        <v>537</v>
      </c>
    </row>
    <row r="778" spans="1:11" x14ac:dyDescent="0.3">
      <c r="A778" s="9" t="s">
        <v>312</v>
      </c>
      <c r="B778" s="9" t="s">
        <v>537</v>
      </c>
      <c r="G778" s="116">
        <v>44197</v>
      </c>
      <c r="H778" s="117">
        <v>1.3671</v>
      </c>
    </row>
    <row r="779" spans="1:11" x14ac:dyDescent="0.3">
      <c r="A779" s="118">
        <v>44201</v>
      </c>
      <c r="B779" s="119">
        <f>VLOOKUP(A779,$G$778:$H$798,2,TRUE)</f>
        <v>1.3624000000000001</v>
      </c>
      <c r="G779" s="116">
        <v>44200</v>
      </c>
      <c r="H779" s="117">
        <v>1.3569</v>
      </c>
    </row>
    <row r="780" spans="1:11" x14ac:dyDescent="0.3">
      <c r="A780" s="118">
        <v>44211</v>
      </c>
      <c r="B780" s="119">
        <f t="shared" ref="B780:B781" si="6">VLOOKUP(A780,$G$778:$H$798,2,TRUE)</f>
        <v>1.3586</v>
      </c>
      <c r="G780" s="116">
        <v>44201</v>
      </c>
      <c r="H780" s="117">
        <v>1.3624000000000001</v>
      </c>
    </row>
    <row r="781" spans="1:11" x14ac:dyDescent="0.3">
      <c r="A781" s="118">
        <v>44220</v>
      </c>
      <c r="B781" s="119">
        <f t="shared" si="6"/>
        <v>1.3684000000000001</v>
      </c>
      <c r="G781" s="116">
        <v>44202</v>
      </c>
      <c r="H781" s="117">
        <v>1.3607</v>
      </c>
    </row>
    <row r="782" spans="1:11" x14ac:dyDescent="0.3">
      <c r="G782" s="116">
        <v>44203</v>
      </c>
      <c r="H782" s="117">
        <v>1.3563000000000001</v>
      </c>
    </row>
    <row r="783" spans="1:11" x14ac:dyDescent="0.3">
      <c r="G783" s="116">
        <v>44204</v>
      </c>
      <c r="H783" s="117">
        <v>1.3563000000000001</v>
      </c>
    </row>
    <row r="784" spans="1:11" x14ac:dyDescent="0.3">
      <c r="G784" s="116">
        <v>44207</v>
      </c>
      <c r="H784" s="117">
        <v>1.3513999999999999</v>
      </c>
    </row>
    <row r="785" spans="1:8" x14ac:dyDescent="0.3">
      <c r="G785" s="116">
        <v>44208</v>
      </c>
      <c r="H785" s="117">
        <v>1.3663000000000001</v>
      </c>
    </row>
    <row r="786" spans="1:8" x14ac:dyDescent="0.3">
      <c r="G786" s="116">
        <v>44209</v>
      </c>
      <c r="H786" s="117">
        <v>1.3636999999999999</v>
      </c>
    </row>
    <row r="787" spans="1:8" x14ac:dyDescent="0.3">
      <c r="G787" s="116">
        <v>44210</v>
      </c>
      <c r="H787" s="117">
        <v>1.3687</v>
      </c>
    </row>
    <row r="788" spans="1:8" x14ac:dyDescent="0.3">
      <c r="G788" s="116">
        <v>44211</v>
      </c>
      <c r="H788" s="117">
        <v>1.3586</v>
      </c>
    </row>
    <row r="789" spans="1:8" x14ac:dyDescent="0.3">
      <c r="G789" s="116">
        <v>44214</v>
      </c>
      <c r="H789" s="117">
        <v>1.3584000000000001</v>
      </c>
    </row>
    <row r="790" spans="1:8" x14ac:dyDescent="0.3">
      <c r="G790" s="116">
        <v>44215</v>
      </c>
      <c r="H790" s="117">
        <v>1.3628</v>
      </c>
    </row>
    <row r="791" spans="1:8" x14ac:dyDescent="0.3">
      <c r="G791" s="116">
        <v>44216</v>
      </c>
      <c r="H791" s="117">
        <v>1.3653</v>
      </c>
    </row>
    <row r="792" spans="1:8" x14ac:dyDescent="0.3">
      <c r="G792" s="116">
        <v>44217</v>
      </c>
      <c r="H792" s="117">
        <v>1.3732</v>
      </c>
    </row>
    <row r="793" spans="1:8" x14ac:dyDescent="0.3">
      <c r="G793" s="116">
        <v>44218</v>
      </c>
      <c r="H793" s="117">
        <v>1.3684000000000001</v>
      </c>
    </row>
    <row r="794" spans="1:8" x14ac:dyDescent="0.3">
      <c r="G794" s="116">
        <v>44221</v>
      </c>
      <c r="H794" s="117">
        <v>1.3673999999999999</v>
      </c>
    </row>
    <row r="795" spans="1:8" x14ac:dyDescent="0.3">
      <c r="G795" s="116">
        <v>44222</v>
      </c>
      <c r="H795" s="117">
        <v>1.3733</v>
      </c>
    </row>
    <row r="796" spans="1:8" x14ac:dyDescent="0.3">
      <c r="G796" s="116">
        <v>44223</v>
      </c>
      <c r="H796" s="117">
        <v>1.3686</v>
      </c>
    </row>
    <row r="797" spans="1:8" x14ac:dyDescent="0.3">
      <c r="G797" s="116">
        <v>44224</v>
      </c>
      <c r="H797" s="117">
        <v>1.3717999999999999</v>
      </c>
    </row>
    <row r="798" spans="1:8" x14ac:dyDescent="0.3">
      <c r="G798" s="116">
        <v>44225</v>
      </c>
      <c r="H798" s="117">
        <v>1.3702000000000001</v>
      </c>
    </row>
    <row r="800" spans="1:8" x14ac:dyDescent="0.3">
      <c r="A800" s="9" t="s">
        <v>538</v>
      </c>
    </row>
    <row r="802" spans="1:8" x14ac:dyDescent="0.3">
      <c r="A802" s="120"/>
      <c r="B802" s="138" t="s">
        <v>539</v>
      </c>
      <c r="C802" s="139"/>
      <c r="D802" s="139"/>
      <c r="E802" s="139"/>
      <c r="F802" s="121"/>
      <c r="G802" s="121"/>
      <c r="H802" s="121"/>
    </row>
    <row r="803" spans="1:8" x14ac:dyDescent="0.3">
      <c r="A803" s="120"/>
      <c r="B803" s="121"/>
      <c r="C803" s="121"/>
      <c r="D803" s="121"/>
      <c r="E803" s="121"/>
      <c r="F803" s="121"/>
      <c r="G803" s="121"/>
      <c r="H803" s="121"/>
    </row>
    <row r="804" spans="1:8" x14ac:dyDescent="0.3">
      <c r="A804" s="120"/>
      <c r="B804" s="122" t="s">
        <v>98</v>
      </c>
      <c r="C804" s="123" t="s">
        <v>1</v>
      </c>
      <c r="D804" s="123" t="s">
        <v>540</v>
      </c>
      <c r="E804" s="123" t="s">
        <v>115</v>
      </c>
      <c r="F804" s="123" t="s">
        <v>124</v>
      </c>
      <c r="G804" s="121"/>
      <c r="H804" s="121"/>
    </row>
    <row r="805" spans="1:8" x14ac:dyDescent="0.3">
      <c r="A805" s="120"/>
      <c r="B805" s="124">
        <v>56815</v>
      </c>
      <c r="C805" s="125" t="s">
        <v>541</v>
      </c>
      <c r="D805" s="125" t="s">
        <v>542</v>
      </c>
      <c r="E805" s="126">
        <v>13836</v>
      </c>
      <c r="F805" s="126">
        <v>25</v>
      </c>
      <c r="G805" s="121"/>
      <c r="H805" s="121"/>
    </row>
    <row r="806" spans="1:8" x14ac:dyDescent="0.3">
      <c r="A806" s="120"/>
      <c r="B806" s="124">
        <v>51186</v>
      </c>
      <c r="C806" s="125" t="s">
        <v>543</v>
      </c>
      <c r="D806" s="125" t="s">
        <v>544</v>
      </c>
      <c r="E806" s="126">
        <v>11771</v>
      </c>
      <c r="F806" s="126">
        <v>32</v>
      </c>
      <c r="G806" s="121"/>
      <c r="H806" s="121"/>
    </row>
    <row r="807" spans="1:8" x14ac:dyDescent="0.3">
      <c r="A807" s="120"/>
      <c r="B807" s="124">
        <v>51511</v>
      </c>
      <c r="C807" s="125" t="s">
        <v>545</v>
      </c>
      <c r="D807" s="125" t="s">
        <v>546</v>
      </c>
      <c r="E807" s="126">
        <v>13046</v>
      </c>
      <c r="F807" s="126">
        <v>35</v>
      </c>
      <c r="G807" s="121"/>
      <c r="H807" s="121"/>
    </row>
    <row r="808" spans="1:8" x14ac:dyDescent="0.3">
      <c r="A808" s="120"/>
      <c r="B808" s="124">
        <v>50890</v>
      </c>
      <c r="C808" s="125" t="s">
        <v>547</v>
      </c>
      <c r="D808" s="125" t="s">
        <v>548</v>
      </c>
      <c r="E808" s="126">
        <v>18276</v>
      </c>
      <c r="F808" s="126">
        <v>32</v>
      </c>
      <c r="G808" s="121"/>
      <c r="H808" s="121"/>
    </row>
    <row r="809" spans="1:8" x14ac:dyDescent="0.3">
      <c r="A809" s="120"/>
      <c r="B809" s="124">
        <v>53700</v>
      </c>
      <c r="C809" s="125" t="s">
        <v>549</v>
      </c>
      <c r="D809" s="125" t="s">
        <v>550</v>
      </c>
      <c r="E809" s="126">
        <v>19327</v>
      </c>
      <c r="F809" s="126">
        <v>26</v>
      </c>
      <c r="G809" s="121"/>
      <c r="H809" s="121"/>
    </row>
    <row r="810" spans="1:8" x14ac:dyDescent="0.3">
      <c r="A810" s="120"/>
      <c r="B810" s="124">
        <v>55879</v>
      </c>
      <c r="C810" s="125" t="s">
        <v>551</v>
      </c>
      <c r="D810" s="125" t="s">
        <v>552</v>
      </c>
      <c r="E810" s="126">
        <v>18996</v>
      </c>
      <c r="F810" s="126">
        <v>35</v>
      </c>
      <c r="G810" s="121"/>
      <c r="H810" s="121"/>
    </row>
    <row r="811" spans="1:8" x14ac:dyDescent="0.3">
      <c r="A811" s="120"/>
      <c r="B811" s="124">
        <v>59848</v>
      </c>
      <c r="C811" s="125" t="s">
        <v>553</v>
      </c>
      <c r="D811" s="125" t="s">
        <v>546</v>
      </c>
      <c r="E811" s="126">
        <v>10387</v>
      </c>
      <c r="F811" s="126">
        <v>25</v>
      </c>
      <c r="G811" s="121"/>
      <c r="H811" s="121"/>
    </row>
    <row r="812" spans="1:8" x14ac:dyDescent="0.3">
      <c r="A812" s="120"/>
      <c r="B812" s="124">
        <v>58369</v>
      </c>
      <c r="C812" s="125" t="s">
        <v>554</v>
      </c>
      <c r="D812" s="125" t="s">
        <v>552</v>
      </c>
      <c r="E812" s="126">
        <v>12566</v>
      </c>
      <c r="F812" s="126">
        <v>37</v>
      </c>
      <c r="G812" s="121"/>
      <c r="H812" s="121"/>
    </row>
    <row r="813" spans="1:8" x14ac:dyDescent="0.3">
      <c r="A813" s="120"/>
      <c r="B813" s="124">
        <v>50217</v>
      </c>
      <c r="C813" s="125" t="s">
        <v>555</v>
      </c>
      <c r="D813" s="125" t="s">
        <v>556</v>
      </c>
      <c r="E813" s="126">
        <v>16406</v>
      </c>
      <c r="F813" s="126">
        <v>42</v>
      </c>
      <c r="G813" s="121"/>
      <c r="H813" s="121"/>
    </row>
    <row r="814" spans="1:8" x14ac:dyDescent="0.3">
      <c r="A814" s="120"/>
      <c r="B814" s="124">
        <v>50695</v>
      </c>
      <c r="C814" s="125" t="s">
        <v>557</v>
      </c>
      <c r="D814" s="125" t="s">
        <v>548</v>
      </c>
      <c r="E814" s="126">
        <v>15784</v>
      </c>
      <c r="F814" s="126">
        <v>43</v>
      </c>
      <c r="G814" s="121"/>
      <c r="H814" s="121"/>
    </row>
    <row r="815" spans="1:8" x14ac:dyDescent="0.3">
      <c r="A815" s="120"/>
      <c r="B815" s="124">
        <v>59673</v>
      </c>
      <c r="C815" s="125" t="s">
        <v>558</v>
      </c>
      <c r="D815" s="125" t="s">
        <v>542</v>
      </c>
      <c r="E815" s="126">
        <v>10959</v>
      </c>
      <c r="F815" s="126">
        <v>30</v>
      </c>
      <c r="G815" s="121"/>
      <c r="H815" s="121"/>
    </row>
    <row r="816" spans="1:8" x14ac:dyDescent="0.3">
      <c r="A816" s="120"/>
      <c r="B816" s="124">
        <v>52130</v>
      </c>
      <c r="C816" s="125" t="s">
        <v>559</v>
      </c>
      <c r="D816" s="125" t="s">
        <v>560</v>
      </c>
      <c r="E816" s="126">
        <v>14562</v>
      </c>
      <c r="F816" s="126">
        <v>32</v>
      </c>
      <c r="G816" s="121"/>
      <c r="H816" s="121"/>
    </row>
    <row r="817" spans="1:8" x14ac:dyDescent="0.3">
      <c r="A817" s="120"/>
      <c r="B817" s="121"/>
      <c r="C817" s="121"/>
      <c r="D817" s="121"/>
      <c r="E817" s="121"/>
      <c r="F817" s="121"/>
      <c r="G817" s="121"/>
      <c r="H817" s="121"/>
    </row>
    <row r="818" spans="1:8" x14ac:dyDescent="0.3">
      <c r="A818" s="127">
        <v>1</v>
      </c>
      <c r="B818" s="121" t="s">
        <v>561</v>
      </c>
      <c r="E818" s="128" t="str">
        <f>VLOOKUP(58369,B805:F816,2,FALSE)</f>
        <v>Thomas Davies</v>
      </c>
      <c r="F818" s="121"/>
      <c r="G818" s="121"/>
      <c r="H818" s="121"/>
    </row>
    <row r="819" spans="1:8" x14ac:dyDescent="0.3">
      <c r="A819" s="120"/>
      <c r="B819" s="121"/>
      <c r="C819" s="121"/>
      <c r="D819" s="121"/>
      <c r="E819" s="121"/>
      <c r="F819" s="121"/>
      <c r="G819" s="121"/>
      <c r="H819" s="121"/>
    </row>
    <row r="820" spans="1:8" x14ac:dyDescent="0.3">
      <c r="A820" s="127">
        <v>2</v>
      </c>
      <c r="B820" s="121" t="s">
        <v>562</v>
      </c>
      <c r="D820" s="121"/>
      <c r="E820" s="128">
        <f>VLOOKUP("Estelle Cormack",C805:F816,4,FALSE)</f>
        <v>30</v>
      </c>
      <c r="F820" s="121"/>
      <c r="G820" s="121"/>
      <c r="H820" s="121"/>
    </row>
    <row r="821" spans="1:8" x14ac:dyDescent="0.3">
      <c r="A821" s="120"/>
      <c r="B821" s="121"/>
      <c r="C821" s="121"/>
      <c r="D821" s="121"/>
      <c r="E821" s="121"/>
      <c r="F821" s="121"/>
      <c r="G821" s="121"/>
      <c r="H821" s="121"/>
    </row>
    <row r="822" spans="1:8" x14ac:dyDescent="0.3">
      <c r="A822" s="127">
        <v>3</v>
      </c>
      <c r="B822" s="140" t="s">
        <v>563</v>
      </c>
      <c r="C822" s="139"/>
      <c r="D822" s="139"/>
      <c r="E822" s="121"/>
      <c r="F822" s="121"/>
      <c r="G822" s="121"/>
      <c r="H822" s="121"/>
    </row>
    <row r="823" spans="1:8" x14ac:dyDescent="0.3">
      <c r="A823" s="120"/>
      <c r="B823" s="121"/>
      <c r="C823" s="121"/>
      <c r="D823" s="121"/>
      <c r="E823" s="121"/>
      <c r="F823" s="121"/>
      <c r="G823" s="121"/>
      <c r="H823" s="121"/>
    </row>
    <row r="824" spans="1:8" x14ac:dyDescent="0.3">
      <c r="A824" s="120"/>
      <c r="B824" s="129" t="s">
        <v>98</v>
      </c>
      <c r="C824" s="130" t="s">
        <v>540</v>
      </c>
      <c r="D824" s="121"/>
      <c r="E824" s="121"/>
      <c r="F824" s="121"/>
      <c r="G824" s="121"/>
      <c r="H824" s="121"/>
    </row>
    <row r="825" spans="1:8" x14ac:dyDescent="0.3">
      <c r="A825" s="120"/>
      <c r="B825" s="124">
        <v>55879</v>
      </c>
      <c r="C825" s="131" t="str">
        <f>VLOOKUP(55879,$B$805:$F$816,3,FALSE)</f>
        <v>Capetown</v>
      </c>
      <c r="D825" s="121"/>
      <c r="E825" s="121"/>
      <c r="F825" s="121"/>
      <c r="G825" s="121"/>
      <c r="H825" s="121"/>
    </row>
    <row r="826" spans="1:8" x14ac:dyDescent="0.3">
      <c r="A826" s="120"/>
      <c r="B826" s="124">
        <v>50217</v>
      </c>
      <c r="C826" s="131" t="str">
        <f>VLOOKUP(50217,$B$805:$F$816,3,FALSE)</f>
        <v>Warsaw</v>
      </c>
      <c r="D826" s="121"/>
      <c r="E826" s="121"/>
      <c r="F826" s="121"/>
      <c r="G826" s="121"/>
      <c r="H826" s="121"/>
    </row>
    <row r="827" spans="1:8" x14ac:dyDescent="0.3">
      <c r="A827" s="120"/>
      <c r="B827" s="124">
        <v>50695</v>
      </c>
      <c r="C827" s="131" t="str">
        <f>VLOOKUP(50695,$B$805:$F$816,3,FALSE)</f>
        <v>Cairo</v>
      </c>
      <c r="D827" s="121"/>
      <c r="E827" s="121"/>
      <c r="F827" s="121"/>
      <c r="G827" s="121"/>
      <c r="H827" s="121"/>
    </row>
    <row r="828" spans="1:8" x14ac:dyDescent="0.3">
      <c r="A828" s="120"/>
      <c r="B828" s="121"/>
      <c r="C828" s="121"/>
      <c r="D828" s="121"/>
      <c r="E828" s="121"/>
      <c r="F828" s="121"/>
      <c r="G828" s="121"/>
      <c r="H828" s="121"/>
    </row>
    <row r="829" spans="1:8" x14ac:dyDescent="0.3">
      <c r="A829" s="127">
        <v>4</v>
      </c>
      <c r="B829" s="140" t="s">
        <v>564</v>
      </c>
      <c r="C829" s="139"/>
      <c r="D829" s="139"/>
      <c r="E829" s="121"/>
      <c r="F829" s="121"/>
      <c r="G829" s="121"/>
      <c r="H829" s="121"/>
    </row>
    <row r="830" spans="1:8" x14ac:dyDescent="0.3">
      <c r="A830" s="120"/>
      <c r="B830" s="121"/>
      <c r="C830" s="121"/>
      <c r="D830" s="121"/>
      <c r="E830" s="121"/>
      <c r="F830" s="121"/>
      <c r="G830" s="121"/>
      <c r="H830" s="121"/>
    </row>
    <row r="831" spans="1:8" x14ac:dyDescent="0.3">
      <c r="A831" s="120"/>
      <c r="B831" s="129" t="s">
        <v>1</v>
      </c>
      <c r="C831" s="130" t="s">
        <v>115</v>
      </c>
      <c r="D831" s="121"/>
      <c r="E831" s="121"/>
      <c r="F831" s="121"/>
      <c r="G831" s="121"/>
      <c r="H831" s="121"/>
    </row>
    <row r="832" spans="1:8" x14ac:dyDescent="0.3">
      <c r="A832" s="120"/>
      <c r="B832" s="132" t="s">
        <v>547</v>
      </c>
      <c r="C832" s="131">
        <f>VLOOKUP("Ian Nash",$C$805:$F$816,3,FALSE)</f>
        <v>18276</v>
      </c>
      <c r="D832" s="121"/>
      <c r="E832" s="121"/>
      <c r="F832" s="121"/>
      <c r="G832" s="121"/>
      <c r="H832" s="121"/>
    </row>
    <row r="833" spans="1:12" x14ac:dyDescent="0.3">
      <c r="A833" s="120"/>
      <c r="B833" s="132" t="s">
        <v>565</v>
      </c>
      <c r="C833" s="131" t="e">
        <f>VLOOKUP("Johnny Slash",$C$805:$F$816,3,FALSE)</f>
        <v>#N/A</v>
      </c>
      <c r="D833" s="121"/>
      <c r="E833" s="121"/>
      <c r="F833" s="121"/>
      <c r="G833" s="121"/>
      <c r="H833" s="121"/>
    </row>
    <row r="834" spans="1:12" x14ac:dyDescent="0.3">
      <c r="A834" s="120"/>
      <c r="B834" s="132" t="s">
        <v>558</v>
      </c>
      <c r="C834" s="131">
        <f>VLOOKUP("Estelle Cormack",$C$805:$F$816,3,FALSE)</f>
        <v>10959</v>
      </c>
      <c r="D834" s="121"/>
      <c r="E834" s="121"/>
      <c r="F834" s="121"/>
      <c r="G834" s="121"/>
      <c r="H834" s="121"/>
    </row>
    <row r="835" spans="1:12" x14ac:dyDescent="0.3">
      <c r="A835" s="120"/>
      <c r="B835" s="121"/>
      <c r="C835" s="121"/>
      <c r="D835" s="121"/>
      <c r="E835" s="121"/>
      <c r="F835" s="121"/>
      <c r="G835" s="121"/>
      <c r="H835" s="121"/>
    </row>
    <row r="836" spans="1:12" x14ac:dyDescent="0.3">
      <c r="A836" s="120" t="s">
        <v>538</v>
      </c>
      <c r="B836" s="121"/>
      <c r="C836" s="121"/>
      <c r="D836" s="121"/>
      <c r="E836" s="121"/>
      <c r="F836" s="121"/>
      <c r="G836" s="121"/>
      <c r="H836" s="121"/>
    </row>
    <row r="838" spans="1:12" x14ac:dyDescent="0.3">
      <c r="A838" s="41"/>
      <c r="B838" s="42" t="s">
        <v>123</v>
      </c>
      <c r="C838" s="41"/>
      <c r="D838" s="41"/>
      <c r="E838" s="41"/>
      <c r="F838" s="41"/>
      <c r="G838" s="41"/>
      <c r="H838" s="41"/>
      <c r="I838" s="41"/>
      <c r="J838" s="41"/>
      <c r="K838" s="41"/>
      <c r="L838" s="41"/>
    </row>
    <row r="839" spans="1:12" x14ac:dyDescent="0.3">
      <c r="A839" s="41"/>
      <c r="B839" s="43" t="s">
        <v>1</v>
      </c>
      <c r="C839" s="43" t="s">
        <v>124</v>
      </c>
      <c r="D839" s="43" t="s">
        <v>125</v>
      </c>
      <c r="E839" s="43" t="s">
        <v>126</v>
      </c>
      <c r="F839" s="41"/>
      <c r="G839" s="41"/>
      <c r="H839" s="41"/>
      <c r="I839" s="41"/>
      <c r="J839" s="41"/>
      <c r="K839" s="41"/>
      <c r="L839" s="41"/>
    </row>
    <row r="840" spans="1:12" x14ac:dyDescent="0.3">
      <c r="A840" s="41"/>
      <c r="B840" s="44" t="s">
        <v>127</v>
      </c>
      <c r="C840" s="44">
        <v>35</v>
      </c>
      <c r="D840" s="44" t="s">
        <v>128</v>
      </c>
      <c r="E840" s="44" t="s">
        <v>129</v>
      </c>
      <c r="F840" s="41"/>
      <c r="G840" s="41"/>
      <c r="H840" s="41"/>
      <c r="I840" s="41"/>
      <c r="J840" s="41"/>
      <c r="K840" s="41"/>
      <c r="L840" s="41"/>
    </row>
    <row r="841" spans="1:12" x14ac:dyDescent="0.3">
      <c r="A841" s="41"/>
      <c r="B841" s="44" t="s">
        <v>130</v>
      </c>
      <c r="C841" s="44">
        <v>42</v>
      </c>
      <c r="D841" s="44" t="s">
        <v>131</v>
      </c>
      <c r="E841" s="44" t="s">
        <v>132</v>
      </c>
      <c r="F841" s="41"/>
      <c r="G841" s="41"/>
      <c r="H841" s="41"/>
      <c r="I841" s="41"/>
      <c r="J841" s="41"/>
      <c r="K841" s="41"/>
      <c r="L841" s="41"/>
    </row>
    <row r="842" spans="1:12" x14ac:dyDescent="0.3">
      <c r="A842" s="41"/>
      <c r="B842" s="44" t="s">
        <v>102</v>
      </c>
      <c r="C842" s="44">
        <v>28</v>
      </c>
      <c r="D842" s="44" t="s">
        <v>128</v>
      </c>
      <c r="E842" s="44" t="s">
        <v>133</v>
      </c>
      <c r="F842" s="41"/>
      <c r="G842" s="41"/>
      <c r="H842" s="41"/>
      <c r="I842" s="41"/>
      <c r="J842" s="41"/>
      <c r="K842" s="41"/>
      <c r="L842" s="41"/>
    </row>
    <row r="843" spans="1:12" x14ac:dyDescent="0.3">
      <c r="A843" s="41"/>
      <c r="B843" s="44" t="s">
        <v>134</v>
      </c>
      <c r="C843" s="44">
        <v>25</v>
      </c>
      <c r="D843" s="44" t="s">
        <v>131</v>
      </c>
      <c r="E843" s="44" t="s">
        <v>111</v>
      </c>
      <c r="F843" s="41"/>
      <c r="G843" s="41"/>
      <c r="H843" s="41"/>
      <c r="I843" s="41"/>
      <c r="J843" s="41"/>
      <c r="K843" s="41"/>
      <c r="L843" s="41"/>
    </row>
    <row r="844" spans="1:12" x14ac:dyDescent="0.3">
      <c r="A844" s="41"/>
      <c r="B844" s="44" t="s">
        <v>135</v>
      </c>
      <c r="C844" s="44">
        <v>31</v>
      </c>
      <c r="D844" s="44" t="s">
        <v>128</v>
      </c>
      <c r="E844" s="44" t="s">
        <v>112</v>
      </c>
      <c r="F844" s="41"/>
      <c r="G844" s="41"/>
      <c r="H844" s="41"/>
      <c r="I844" s="41"/>
      <c r="J844" s="41"/>
      <c r="K844" s="41"/>
      <c r="L844" s="41"/>
    </row>
    <row r="845" spans="1:12" x14ac:dyDescent="0.3">
      <c r="A845" s="41"/>
      <c r="B845" s="44" t="s">
        <v>136</v>
      </c>
      <c r="C845" s="44">
        <v>27</v>
      </c>
      <c r="D845" s="44" t="s">
        <v>131</v>
      </c>
      <c r="E845" s="44" t="s">
        <v>137</v>
      </c>
      <c r="F845" s="41"/>
      <c r="G845" s="41"/>
      <c r="H845" s="41"/>
      <c r="I845" s="41"/>
      <c r="J845" s="41"/>
      <c r="K845" s="41"/>
      <c r="L845" s="41"/>
    </row>
    <row r="846" spans="1:12" x14ac:dyDescent="0.3">
      <c r="A846" s="41"/>
      <c r="B846" s="44" t="s">
        <v>138</v>
      </c>
      <c r="C846" s="44">
        <v>38</v>
      </c>
      <c r="D846" s="44" t="s">
        <v>128</v>
      </c>
      <c r="E846" s="44" t="s">
        <v>139</v>
      </c>
      <c r="F846" s="41"/>
      <c r="G846" s="41"/>
      <c r="H846" s="41"/>
      <c r="I846" s="41"/>
      <c r="J846" s="41"/>
      <c r="K846" s="41"/>
      <c r="L846" s="41"/>
    </row>
    <row r="847" spans="1:12" x14ac:dyDescent="0.3">
      <c r="A847" s="41"/>
      <c r="B847" s="44" t="s">
        <v>140</v>
      </c>
      <c r="C847" s="44">
        <v>29</v>
      </c>
      <c r="D847" s="44" t="s">
        <v>131</v>
      </c>
      <c r="E847" s="44" t="s">
        <v>141</v>
      </c>
      <c r="F847" s="41"/>
      <c r="G847" s="41"/>
      <c r="H847" s="41"/>
      <c r="I847" s="41"/>
      <c r="J847" s="41"/>
      <c r="K847" s="41"/>
      <c r="L847" s="41"/>
    </row>
    <row r="848" spans="1:12" x14ac:dyDescent="0.3">
      <c r="A848" s="41"/>
      <c r="B848" s="44" t="s">
        <v>142</v>
      </c>
      <c r="C848" s="44">
        <v>45</v>
      </c>
      <c r="D848" s="44" t="s">
        <v>128</v>
      </c>
      <c r="E848" s="44" t="s">
        <v>143</v>
      </c>
      <c r="F848" s="41"/>
      <c r="G848" s="41"/>
      <c r="H848" s="41"/>
      <c r="I848" s="41"/>
      <c r="J848" s="41"/>
      <c r="K848" s="41"/>
      <c r="L848" s="41"/>
    </row>
    <row r="849" spans="1:12" x14ac:dyDescent="0.3">
      <c r="A849" s="41"/>
      <c r="B849" s="44" t="s">
        <v>144</v>
      </c>
      <c r="C849" s="44">
        <v>33</v>
      </c>
      <c r="D849" s="44" t="s">
        <v>131</v>
      </c>
      <c r="E849" s="44" t="s">
        <v>145</v>
      </c>
      <c r="F849" s="41"/>
      <c r="G849" s="41"/>
      <c r="H849" s="41"/>
      <c r="I849" s="41"/>
      <c r="J849" s="41"/>
      <c r="K849" s="41"/>
      <c r="L849" s="41"/>
    </row>
    <row r="850" spans="1:12" x14ac:dyDescent="0.3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</row>
    <row r="851" spans="1:12" x14ac:dyDescent="0.3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</row>
    <row r="852" spans="1:12" x14ac:dyDescent="0.3">
      <c r="A852" s="41"/>
      <c r="B852" s="45" t="s">
        <v>146</v>
      </c>
      <c r="C852" s="41"/>
      <c r="D852" s="41"/>
      <c r="E852" s="41"/>
      <c r="F852" s="41"/>
      <c r="G852" s="41"/>
      <c r="H852" s="41"/>
      <c r="I852" s="41"/>
      <c r="J852" s="41"/>
      <c r="K852" s="41"/>
      <c r="L852" s="41"/>
    </row>
    <row r="853" spans="1:12" x14ac:dyDescent="0.3">
      <c r="A853" s="41"/>
      <c r="B853" s="41"/>
      <c r="C853" s="41"/>
      <c r="D853" s="41"/>
      <c r="E853" s="41"/>
      <c r="F853" s="41"/>
      <c r="G853" s="41" t="s">
        <v>566</v>
      </c>
      <c r="H853" s="41"/>
      <c r="I853" s="41"/>
      <c r="J853" s="41"/>
      <c r="K853" s="41"/>
      <c r="L853" s="41"/>
    </row>
    <row r="854" spans="1:12" x14ac:dyDescent="0.3">
      <c r="A854" s="41">
        <v>1</v>
      </c>
      <c r="B854" s="41" t="s">
        <v>147</v>
      </c>
      <c r="C854" s="41"/>
      <c r="D854" s="41"/>
      <c r="E854" s="41"/>
      <c r="F854" s="41"/>
      <c r="G854" s="41"/>
      <c r="H854" s="41"/>
      <c r="I854" s="41"/>
      <c r="J854" s="41"/>
      <c r="K854" s="41"/>
      <c r="L854" s="41"/>
    </row>
    <row r="855" spans="1:12" x14ac:dyDescent="0.3">
      <c r="A855" s="41"/>
      <c r="B855" s="41"/>
      <c r="C855" s="46" t="s">
        <v>148</v>
      </c>
      <c r="D855" s="46"/>
      <c r="E855" s="41"/>
      <c r="F855" s="41"/>
      <c r="G855" s="41"/>
      <c r="H855" s="41"/>
      <c r="I855" s="41"/>
      <c r="J855" s="41"/>
      <c r="K855" s="41"/>
      <c r="L855" s="41"/>
    </row>
    <row r="856" spans="1:12" x14ac:dyDescent="0.3">
      <c r="A856" s="41"/>
      <c r="B856" s="42" t="s">
        <v>119</v>
      </c>
      <c r="C856" s="47" t="str">
        <f>VLOOKUP("Jane Doe",$B$840:$E$849,4,FALSE)</f>
        <v>Data Scientist</v>
      </c>
      <c r="D856" s="41"/>
      <c r="E856" s="41"/>
      <c r="F856" s="41"/>
      <c r="G856" s="41"/>
      <c r="H856" s="41"/>
      <c r="I856" s="41"/>
      <c r="J856" s="41"/>
      <c r="K856" s="41"/>
      <c r="L856" s="41"/>
    </row>
    <row r="857" spans="1:12" x14ac:dyDescent="0.3">
      <c r="A857" s="41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41"/>
    </row>
    <row r="858" spans="1:12" x14ac:dyDescent="0.3">
      <c r="A858" s="41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41"/>
    </row>
    <row r="859" spans="1:12" x14ac:dyDescent="0.3">
      <c r="A859" s="41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41"/>
    </row>
    <row r="860" spans="1:12" x14ac:dyDescent="0.3">
      <c r="A860" s="41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41"/>
    </row>
    <row r="861" spans="1:12" x14ac:dyDescent="0.3">
      <c r="A861" s="41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41"/>
    </row>
    <row r="862" spans="1:12" x14ac:dyDescent="0.3">
      <c r="A862" s="41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41"/>
    </row>
    <row r="863" spans="1:12" x14ac:dyDescent="0.3">
      <c r="A863" s="41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41"/>
    </row>
    <row r="864" spans="1:12" x14ac:dyDescent="0.3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</row>
    <row r="865" spans="1:12" x14ac:dyDescent="0.3">
      <c r="A865" s="41">
        <v>2</v>
      </c>
      <c r="B865" s="41" t="s">
        <v>149</v>
      </c>
      <c r="C865" s="41"/>
      <c r="D865" s="41"/>
      <c r="E865" s="41"/>
      <c r="F865" s="41"/>
      <c r="G865" s="41"/>
      <c r="H865" s="41"/>
      <c r="I865" s="41"/>
      <c r="J865" s="41"/>
      <c r="K865" s="41"/>
      <c r="L865" s="41"/>
    </row>
    <row r="866" spans="1:12" x14ac:dyDescent="0.3">
      <c r="A866" s="41"/>
      <c r="B866" s="41"/>
      <c r="C866" s="46" t="s">
        <v>148</v>
      </c>
      <c r="D866" s="46"/>
      <c r="E866" s="41"/>
      <c r="F866" s="41"/>
      <c r="G866" s="41"/>
      <c r="H866" s="41"/>
      <c r="I866" s="41"/>
      <c r="J866" s="41"/>
      <c r="K866" s="41"/>
      <c r="L866" s="41"/>
    </row>
    <row r="867" spans="1:12" x14ac:dyDescent="0.3">
      <c r="A867" s="41"/>
      <c r="B867" s="42" t="s">
        <v>119</v>
      </c>
      <c r="C867" s="47">
        <f>VLOOKUP("Mike Lee",$B$840:$C$849,2,FALSE)</f>
        <v>45</v>
      </c>
      <c r="D867" s="41"/>
      <c r="E867" s="41"/>
      <c r="F867" s="41"/>
      <c r="G867" s="41"/>
      <c r="H867" s="41"/>
      <c r="I867" s="41"/>
      <c r="J867" s="41"/>
      <c r="K867" s="41"/>
      <c r="L867" s="41"/>
    </row>
    <row r="868" spans="1:12" x14ac:dyDescent="0.3">
      <c r="A868" s="41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41"/>
    </row>
    <row r="869" spans="1:12" x14ac:dyDescent="0.3">
      <c r="A869" s="41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41"/>
    </row>
    <row r="870" spans="1:12" x14ac:dyDescent="0.3">
      <c r="A870" s="41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41"/>
    </row>
    <row r="871" spans="1:12" x14ac:dyDescent="0.3">
      <c r="A871" s="41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41"/>
    </row>
    <row r="872" spans="1:12" x14ac:dyDescent="0.3">
      <c r="A872" s="41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41"/>
    </row>
    <row r="873" spans="1:12" x14ac:dyDescent="0.3">
      <c r="A873" s="41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41"/>
    </row>
    <row r="874" spans="1:12" x14ac:dyDescent="0.3">
      <c r="A874" s="41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41"/>
    </row>
    <row r="875" spans="1:12" x14ac:dyDescent="0.3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</row>
    <row r="876" spans="1:12" x14ac:dyDescent="0.3">
      <c r="A876" s="41">
        <v>2</v>
      </c>
      <c r="B876" s="41" t="s">
        <v>150</v>
      </c>
      <c r="C876" s="41"/>
      <c r="D876" s="41"/>
      <c r="E876" s="41"/>
      <c r="F876" s="41"/>
      <c r="G876" s="41"/>
      <c r="H876" s="41"/>
      <c r="I876" s="41"/>
      <c r="J876" s="41"/>
      <c r="K876" s="41"/>
      <c r="L876" s="41"/>
    </row>
    <row r="877" spans="1:12" x14ac:dyDescent="0.3">
      <c r="A877" s="41"/>
      <c r="B877" s="41"/>
      <c r="C877" s="46" t="s">
        <v>148</v>
      </c>
      <c r="D877" s="46"/>
      <c r="E877" s="41"/>
      <c r="F877" s="41"/>
      <c r="G877" s="41"/>
      <c r="H877" s="41"/>
      <c r="I877" s="41"/>
      <c r="J877" s="41"/>
      <c r="K877" s="41"/>
      <c r="L877" s="41"/>
    </row>
    <row r="878" spans="1:12" x14ac:dyDescent="0.3">
      <c r="A878" s="41"/>
      <c r="B878" s="42" t="s">
        <v>119</v>
      </c>
      <c r="C878" s="47" t="str">
        <f>VLOOKUP("B*",$B$840:$E$849,4,FALSE)</f>
        <v>Accountant</v>
      </c>
      <c r="D878" s="41"/>
      <c r="E878" s="41"/>
      <c r="F878" s="41"/>
      <c r="G878" s="41"/>
      <c r="H878" s="41"/>
      <c r="I878" s="41"/>
      <c r="J878" s="41"/>
      <c r="K878" s="41"/>
      <c r="L878" s="41"/>
    </row>
    <row r="879" spans="1:12" x14ac:dyDescent="0.3">
      <c r="A879" s="41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41"/>
    </row>
    <row r="880" spans="1:12" x14ac:dyDescent="0.3">
      <c r="A880" s="41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41"/>
    </row>
    <row r="881" spans="1:15" x14ac:dyDescent="0.3">
      <c r="A881" s="41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41"/>
    </row>
    <row r="882" spans="1:15" x14ac:dyDescent="0.3">
      <c r="A882" s="41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41"/>
    </row>
    <row r="883" spans="1:15" x14ac:dyDescent="0.3">
      <c r="A883" s="41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41"/>
    </row>
    <row r="884" spans="1:15" x14ac:dyDescent="0.3">
      <c r="A884" s="41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41"/>
    </row>
    <row r="885" spans="1:15" x14ac:dyDescent="0.3">
      <c r="A885" s="41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41"/>
    </row>
    <row r="886" spans="1:15" x14ac:dyDescent="0.3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</row>
    <row r="887" spans="1:15" x14ac:dyDescent="0.3">
      <c r="A887" s="42" t="s">
        <v>567</v>
      </c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</row>
    <row r="888" spans="1:15" x14ac:dyDescent="0.3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</row>
    <row r="889" spans="1:15" x14ac:dyDescent="0.3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</row>
    <row r="890" spans="1:15" x14ac:dyDescent="0.3">
      <c r="A890" s="22"/>
      <c r="B890" s="36" t="s">
        <v>97</v>
      </c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</row>
    <row r="891" spans="1:15" x14ac:dyDescent="0.3">
      <c r="A891" s="22"/>
      <c r="B891" s="37" t="s">
        <v>98</v>
      </c>
      <c r="C891" s="37">
        <v>101</v>
      </c>
      <c r="D891" s="37">
        <v>102</v>
      </c>
      <c r="E891" s="37">
        <v>103</v>
      </c>
      <c r="F891" s="37">
        <v>104</v>
      </c>
      <c r="G891" s="37">
        <v>105</v>
      </c>
      <c r="H891" s="37">
        <v>106</v>
      </c>
      <c r="I891" s="37">
        <v>107</v>
      </c>
      <c r="J891" s="37">
        <v>108</v>
      </c>
      <c r="K891" s="37">
        <v>109</v>
      </c>
      <c r="L891" s="37">
        <v>110</v>
      </c>
      <c r="M891" s="22"/>
      <c r="N891" s="22"/>
      <c r="O891" s="22"/>
    </row>
    <row r="892" spans="1:15" x14ac:dyDescent="0.3">
      <c r="A892" s="22"/>
      <c r="B892" s="37" t="s">
        <v>99</v>
      </c>
      <c r="C892" s="38" t="s">
        <v>100</v>
      </c>
      <c r="D892" s="38" t="s">
        <v>101</v>
      </c>
      <c r="E892" s="38" t="s">
        <v>102</v>
      </c>
      <c r="F892" s="38" t="s">
        <v>103</v>
      </c>
      <c r="G892" s="38" t="s">
        <v>104</v>
      </c>
      <c r="H892" s="38" t="s">
        <v>105</v>
      </c>
      <c r="I892" s="38" t="s">
        <v>106</v>
      </c>
      <c r="J892" s="38" t="s">
        <v>107</v>
      </c>
      <c r="K892" s="38" t="s">
        <v>108</v>
      </c>
      <c r="L892" s="38" t="s">
        <v>109</v>
      </c>
      <c r="M892" s="22"/>
      <c r="N892" s="22"/>
      <c r="O892" s="22"/>
    </row>
    <row r="893" spans="1:15" x14ac:dyDescent="0.3">
      <c r="A893" s="22"/>
      <c r="B893" s="37" t="s">
        <v>110</v>
      </c>
      <c r="C893" s="38" t="s">
        <v>111</v>
      </c>
      <c r="D893" s="38" t="s">
        <v>112</v>
      </c>
      <c r="E893" s="38" t="s">
        <v>113</v>
      </c>
      <c r="F893" s="38" t="s">
        <v>114</v>
      </c>
      <c r="G893" s="38" t="s">
        <v>111</v>
      </c>
      <c r="H893" s="38" t="s">
        <v>112</v>
      </c>
      <c r="I893" s="38" t="s">
        <v>113</v>
      </c>
      <c r="J893" s="38" t="s">
        <v>114</v>
      </c>
      <c r="K893" s="38" t="s">
        <v>111</v>
      </c>
      <c r="L893" s="38" t="s">
        <v>112</v>
      </c>
      <c r="M893" s="22"/>
      <c r="N893" s="22"/>
      <c r="O893" s="22"/>
    </row>
    <row r="894" spans="1:15" x14ac:dyDescent="0.3">
      <c r="A894" s="22"/>
      <c r="B894" s="37" t="s">
        <v>115</v>
      </c>
      <c r="C894" s="38">
        <v>50000</v>
      </c>
      <c r="D894" s="38">
        <v>55000</v>
      </c>
      <c r="E894" s="38">
        <v>60000</v>
      </c>
      <c r="F894" s="38">
        <v>65000</v>
      </c>
      <c r="G894" s="38">
        <v>70000</v>
      </c>
      <c r="H894" s="38">
        <v>75000</v>
      </c>
      <c r="I894" s="38">
        <v>80000</v>
      </c>
      <c r="J894" s="38">
        <v>85000</v>
      </c>
      <c r="K894" s="38">
        <v>90000</v>
      </c>
      <c r="L894" s="38">
        <v>95000</v>
      </c>
      <c r="M894" s="22"/>
      <c r="N894" s="22"/>
      <c r="O894" s="22"/>
    </row>
    <row r="895" spans="1:15" x14ac:dyDescent="0.3">
      <c r="A895" s="22"/>
      <c r="B895" s="37" t="s">
        <v>116</v>
      </c>
      <c r="C895" s="38">
        <v>2000</v>
      </c>
      <c r="D895" s="38">
        <v>2500</v>
      </c>
      <c r="E895" s="38">
        <v>3000</v>
      </c>
      <c r="F895" s="38">
        <v>3500</v>
      </c>
      <c r="G895" s="38">
        <v>4000</v>
      </c>
      <c r="H895" s="38">
        <v>4500</v>
      </c>
      <c r="I895" s="38">
        <v>5000</v>
      </c>
      <c r="J895" s="38">
        <v>5500</v>
      </c>
      <c r="K895" s="38">
        <v>6000</v>
      </c>
      <c r="L895" s="38">
        <v>6500</v>
      </c>
      <c r="M895" s="22"/>
      <c r="N895" s="22"/>
      <c r="O895" s="22"/>
    </row>
    <row r="896" spans="1:15" x14ac:dyDescent="0.3">
      <c r="A896" s="22"/>
      <c r="B896" s="37" t="s">
        <v>117</v>
      </c>
      <c r="C896" s="38">
        <v>52000</v>
      </c>
      <c r="D896" s="38">
        <v>57500</v>
      </c>
      <c r="E896" s="38">
        <v>63000</v>
      </c>
      <c r="F896" s="38">
        <v>685000</v>
      </c>
      <c r="G896" s="38">
        <v>74000</v>
      </c>
      <c r="H896" s="38">
        <v>79500</v>
      </c>
      <c r="I896" s="38">
        <v>85000</v>
      </c>
      <c r="J896" s="38">
        <v>90500</v>
      </c>
      <c r="K896" s="38">
        <v>96000</v>
      </c>
      <c r="L896" s="38">
        <v>101500</v>
      </c>
      <c r="M896" s="22"/>
      <c r="N896" s="22"/>
      <c r="O896" s="22"/>
    </row>
    <row r="897" spans="1:15" x14ac:dyDescent="0.3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</row>
    <row r="898" spans="1:15" x14ac:dyDescent="0.3">
      <c r="A898" s="21">
        <v>1</v>
      </c>
      <c r="B898" s="36" t="s">
        <v>118</v>
      </c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</row>
    <row r="899" spans="1:15" x14ac:dyDescent="0.3">
      <c r="A899" s="21"/>
      <c r="B899" s="22"/>
      <c r="C899" s="36"/>
      <c r="D899" s="36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</row>
    <row r="900" spans="1:15" x14ac:dyDescent="0.3">
      <c r="A900" s="21"/>
      <c r="B900" s="22" t="s">
        <v>119</v>
      </c>
      <c r="C900" s="39" t="str">
        <f>HLOOKUP(102,$B$891:$L$896,3,FALSE)</f>
        <v>Marketing</v>
      </c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</row>
    <row r="901" spans="1:15" x14ac:dyDescent="0.3">
      <c r="A901" s="21"/>
      <c r="B901" s="36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</row>
    <row r="902" spans="1:15" x14ac:dyDescent="0.3">
      <c r="A902" s="21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</row>
    <row r="903" spans="1:15" x14ac:dyDescent="0.3">
      <c r="A903" s="21"/>
      <c r="B903" s="40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</row>
    <row r="904" spans="1:15" x14ac:dyDescent="0.3">
      <c r="A904" s="21"/>
      <c r="B904" s="40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</row>
    <row r="905" spans="1:15" x14ac:dyDescent="0.3">
      <c r="A905" s="21"/>
      <c r="B905" s="40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</row>
    <row r="906" spans="1:15" x14ac:dyDescent="0.3">
      <c r="A906" s="21"/>
      <c r="B906" s="40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</row>
    <row r="907" spans="1:15" x14ac:dyDescent="0.3">
      <c r="A907" s="21"/>
      <c r="B907" s="40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</row>
    <row r="908" spans="1:15" x14ac:dyDescent="0.3">
      <c r="A908" s="21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</row>
    <row r="909" spans="1:15" x14ac:dyDescent="0.3">
      <c r="A909" s="21">
        <v>2</v>
      </c>
      <c r="B909" s="36" t="s">
        <v>120</v>
      </c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</row>
    <row r="910" spans="1:15" x14ac:dyDescent="0.3">
      <c r="A910" s="21"/>
      <c r="B910" s="22"/>
      <c r="C910" s="36"/>
      <c r="D910" s="36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</row>
    <row r="911" spans="1:15" x14ac:dyDescent="0.3">
      <c r="A911" s="21"/>
      <c r="B911" s="22" t="s">
        <v>119</v>
      </c>
      <c r="C911" s="39">
        <f>HLOOKUP(105,C891:L896,4,FALSE)</f>
        <v>70000</v>
      </c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</row>
    <row r="912" spans="1:15" x14ac:dyDescent="0.3">
      <c r="A912" s="21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</row>
    <row r="913" spans="1:15" x14ac:dyDescent="0.3">
      <c r="A913" s="21"/>
      <c r="B913" s="36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</row>
    <row r="914" spans="1:15" x14ac:dyDescent="0.3">
      <c r="A914" s="21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</row>
    <row r="915" spans="1:15" x14ac:dyDescent="0.3">
      <c r="A915" s="21"/>
      <c r="B915" s="40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</row>
    <row r="916" spans="1:15" x14ac:dyDescent="0.3">
      <c r="A916" s="21"/>
      <c r="B916" s="40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</row>
    <row r="917" spans="1:15" x14ac:dyDescent="0.3">
      <c r="A917" s="21"/>
      <c r="B917" s="40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</row>
    <row r="918" spans="1:15" x14ac:dyDescent="0.3">
      <c r="A918" s="21"/>
      <c r="B918" s="40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</row>
    <row r="919" spans="1:15" x14ac:dyDescent="0.3">
      <c r="A919" s="21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</row>
    <row r="920" spans="1:15" x14ac:dyDescent="0.3">
      <c r="A920" s="21">
        <v>3</v>
      </c>
      <c r="B920" s="36" t="s">
        <v>121</v>
      </c>
      <c r="C920" s="36"/>
      <c r="D920" s="36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</row>
    <row r="921" spans="1:15" x14ac:dyDescent="0.3">
      <c r="A921" s="21"/>
      <c r="B921" s="21" t="s">
        <v>119</v>
      </c>
      <c r="C921" s="39">
        <f>HLOOKUP(107,C891:L896,6,FALSE)</f>
        <v>85000</v>
      </c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</row>
    <row r="922" spans="1:15" x14ac:dyDescent="0.3">
      <c r="A922" s="21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</row>
    <row r="923" spans="1:15" x14ac:dyDescent="0.3">
      <c r="A923" s="21"/>
      <c r="B923" s="36" t="s">
        <v>122</v>
      </c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</row>
    <row r="924" spans="1:15" x14ac:dyDescent="0.3">
      <c r="A924" s="21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</row>
    <row r="925" spans="1:15" x14ac:dyDescent="0.3">
      <c r="A925" s="21"/>
      <c r="B925" s="40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</row>
    <row r="926" spans="1:15" x14ac:dyDescent="0.3">
      <c r="A926" s="21"/>
      <c r="B926" s="40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</row>
    <row r="927" spans="1:15" x14ac:dyDescent="0.3">
      <c r="A927" s="21"/>
      <c r="B927" s="40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</row>
    <row r="928" spans="1:15" x14ac:dyDescent="0.3">
      <c r="A928" s="21"/>
      <c r="B928" s="40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</row>
    <row r="929" spans="1:15" x14ac:dyDescent="0.3">
      <c r="A929" s="21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</row>
    <row r="930" spans="1:15" x14ac:dyDescent="0.3">
      <c r="A930" s="21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</row>
    <row r="931" spans="1:15" x14ac:dyDescent="0.3">
      <c r="A931" s="21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</row>
  </sheetData>
  <mergeCells count="13">
    <mergeCell ref="B879:K885"/>
    <mergeCell ref="B802:E802"/>
    <mergeCell ref="B822:D822"/>
    <mergeCell ref="B829:D829"/>
    <mergeCell ref="B857:K863"/>
    <mergeCell ref="B868:K874"/>
    <mergeCell ref="B751:K757"/>
    <mergeCell ref="B762:K768"/>
    <mergeCell ref="B193:K199"/>
    <mergeCell ref="B204:K210"/>
    <mergeCell ref="B215:K221"/>
    <mergeCell ref="D534:F534"/>
    <mergeCell ref="B740:K746"/>
  </mergeCells>
  <hyperlinks>
    <hyperlink ref="A374" location="'Math 1 - Answer'!A1" display="Click here to view the Answers!" xr:uid="{45390ADB-A1BC-4D96-B31B-21EBC83E2182}"/>
    <hyperlink ref="E735" location="'SUMIF2  Answers'!A1" display="'SUMIF2  Answers'!A1" xr:uid="{79138CAF-147B-47E3-B000-A0BF76765271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4367-36A7-47C6-9CA5-B31D95B07E14}">
  <dimension ref="A1:K6"/>
  <sheetViews>
    <sheetView workbookViewId="0">
      <selection activeCell="F15" sqref="F15"/>
    </sheetView>
  </sheetViews>
  <sheetFormatPr defaultRowHeight="14.4" x14ac:dyDescent="0.3"/>
  <sheetData>
    <row r="1" spans="1:11" x14ac:dyDescent="0.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x14ac:dyDescent="0.3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x14ac:dyDescent="0.3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x14ac:dyDescent="0.3">
      <c r="A5" s="37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x14ac:dyDescent="0.3">
      <c r="A6" s="37"/>
      <c r="B6" s="38"/>
      <c r="C6" s="38"/>
      <c r="D6" s="38"/>
      <c r="E6" s="38"/>
      <c r="F6" s="38"/>
      <c r="G6" s="38"/>
      <c r="H6" s="38"/>
      <c r="I6" s="38"/>
      <c r="J6" s="38"/>
      <c r="K6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priyaparekh1994@yahoo.com</dc:creator>
  <cp:lastModifiedBy>priyaparekh1994@yahoo.com</cp:lastModifiedBy>
  <dcterms:created xsi:type="dcterms:W3CDTF">2026-04-09T12:37:27Z</dcterms:created>
  <dcterms:modified xsi:type="dcterms:W3CDTF">2026-04-16T13:06:26Z</dcterms:modified>
</cp:coreProperties>
</file>